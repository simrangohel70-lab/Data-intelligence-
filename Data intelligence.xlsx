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77BB75AB-067A-4040-88A4-736FEDC3ACC6}" xr6:coauthVersionLast="47" xr6:coauthVersionMax="47" xr10:uidLastSave="{00000000-0000-0000-0000-000000000000}"/>
  <bookViews>
    <workbookView xWindow="-108" yWindow="-108" windowWidth="23256" windowHeight="12456" firstSheet="1" activeTab="7" xr2:uid="{00000000-000D-0000-FFFF-FFFF00000000}"/>
  </bookViews>
  <sheets>
    <sheet name="Raw data " sheetId="1" r:id="rId1"/>
    <sheet name="Analysis" sheetId="6" r:id="rId2"/>
    <sheet name="WHAT-IF Analysis" sheetId="8" r:id="rId3"/>
    <sheet name="Analysis Toolpak" sheetId="2" r:id="rId4"/>
    <sheet name="Pivot table" sheetId="3" r:id="rId5"/>
    <sheet name="Charts " sheetId="4" r:id="rId6"/>
    <sheet name="Dashboards" sheetId="5" r:id="rId7"/>
    <sheet name="Data storytelling" sheetId="9" r:id="rId8"/>
  </sheets>
  <definedNames>
    <definedName name="NativeTimeline_Date">#N/A</definedName>
    <definedName name="NativeTimeline_Timestamp">#N/A</definedName>
    <definedName name="Slicer_Customer_Name">#N/A</definedName>
    <definedName name="Slicer_Customer_Segment">#N/A</definedName>
    <definedName name="Slicer_Product_Name">#N/A</definedName>
    <definedName name="Slicer_Product_Name1">#N/A</definedName>
    <definedName name="Slicer_Region">#N/A</definedName>
    <definedName name="Slicer_Region1">#N/A</definedName>
    <definedName name="Slicer_Total_Amoun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9" l="1"/>
  <c r="B30" i="9"/>
  <c r="B31" i="9"/>
  <c r="AC2" i="6" a="1"/>
  <c r="AC2" i="6" s="1"/>
  <c r="AA2" i="6" a="1"/>
  <c r="AA2" i="6" s="1"/>
  <c r="O3" i="6"/>
  <c r="P3" i="6"/>
  <c r="Q3" i="6"/>
  <c r="R3" i="6"/>
  <c r="S3" i="6"/>
  <c r="T3" i="6"/>
  <c r="U3" i="6"/>
  <c r="W3" i="6"/>
  <c r="O4" i="6"/>
  <c r="P4" i="6"/>
  <c r="Q4" i="6"/>
  <c r="R4" i="6"/>
  <c r="S4" i="6"/>
  <c r="T4" i="6"/>
  <c r="U4" i="6"/>
  <c r="W4" i="6"/>
  <c r="O5" i="6"/>
  <c r="P5" i="6"/>
  <c r="Q5" i="6"/>
  <c r="R5" i="6"/>
  <c r="S5" i="6"/>
  <c r="T5" i="6"/>
  <c r="U5" i="6"/>
  <c r="W5" i="6"/>
  <c r="O6" i="6"/>
  <c r="P6" i="6"/>
  <c r="Q6" i="6"/>
  <c r="R6" i="6"/>
  <c r="S6" i="6"/>
  <c r="T6" i="6"/>
  <c r="U6" i="6"/>
  <c r="W6" i="6"/>
  <c r="O7" i="6"/>
  <c r="P7" i="6"/>
  <c r="Q7" i="6"/>
  <c r="R7" i="6"/>
  <c r="S7" i="6"/>
  <c r="T7" i="6"/>
  <c r="U7" i="6"/>
  <c r="W7" i="6"/>
  <c r="O8" i="6"/>
  <c r="P8" i="6"/>
  <c r="Q8" i="6"/>
  <c r="R8" i="6"/>
  <c r="S8" i="6"/>
  <c r="T8" i="6"/>
  <c r="U8" i="6"/>
  <c r="W8" i="6"/>
  <c r="O9" i="6"/>
  <c r="P9" i="6"/>
  <c r="Q9" i="6"/>
  <c r="R9" i="6"/>
  <c r="S9" i="6"/>
  <c r="T9" i="6"/>
  <c r="U9" i="6"/>
  <c r="W9" i="6"/>
  <c r="O10" i="6"/>
  <c r="P10" i="6"/>
  <c r="Q10" i="6"/>
  <c r="R10" i="6"/>
  <c r="S10" i="6"/>
  <c r="T10" i="6"/>
  <c r="U10" i="6"/>
  <c r="W10" i="6"/>
  <c r="O11" i="6"/>
  <c r="P11" i="6"/>
  <c r="Q11" i="6"/>
  <c r="R11" i="6"/>
  <c r="S11" i="6"/>
  <c r="T11" i="6"/>
  <c r="U11" i="6"/>
  <c r="W11" i="6"/>
  <c r="O12" i="6"/>
  <c r="P12" i="6"/>
  <c r="Q12" i="6"/>
  <c r="R12" i="6"/>
  <c r="S12" i="6"/>
  <c r="T12" i="6"/>
  <c r="U12" i="6"/>
  <c r="W12" i="6"/>
  <c r="O13" i="6"/>
  <c r="P13" i="6"/>
  <c r="Q13" i="6"/>
  <c r="R13" i="6"/>
  <c r="S13" i="6"/>
  <c r="T13" i="6"/>
  <c r="U13" i="6"/>
  <c r="W13" i="6"/>
  <c r="O14" i="6"/>
  <c r="P14" i="6"/>
  <c r="Q14" i="6"/>
  <c r="R14" i="6"/>
  <c r="S14" i="6"/>
  <c r="T14" i="6"/>
  <c r="U14" i="6"/>
  <c r="W14" i="6"/>
  <c r="O15" i="6"/>
  <c r="P15" i="6"/>
  <c r="Q15" i="6"/>
  <c r="R15" i="6"/>
  <c r="S15" i="6"/>
  <c r="T15" i="6"/>
  <c r="U15" i="6"/>
  <c r="W15" i="6"/>
  <c r="O16" i="6"/>
  <c r="P16" i="6"/>
  <c r="Q16" i="6"/>
  <c r="R16" i="6"/>
  <c r="S16" i="6"/>
  <c r="T16" i="6"/>
  <c r="U16" i="6"/>
  <c r="W16" i="6"/>
  <c r="O17" i="6"/>
  <c r="P17" i="6"/>
  <c r="Q17" i="6"/>
  <c r="R17" i="6"/>
  <c r="S17" i="6"/>
  <c r="T17" i="6"/>
  <c r="U17" i="6"/>
  <c r="W17" i="6"/>
  <c r="O18" i="6"/>
  <c r="P18" i="6"/>
  <c r="Q18" i="6"/>
  <c r="R18" i="6"/>
  <c r="S18" i="6"/>
  <c r="T18" i="6"/>
  <c r="U18" i="6"/>
  <c r="W18" i="6"/>
  <c r="O19" i="6"/>
  <c r="P19" i="6"/>
  <c r="Q19" i="6"/>
  <c r="R19" i="6"/>
  <c r="S19" i="6"/>
  <c r="T19" i="6"/>
  <c r="U19" i="6"/>
  <c r="W19" i="6"/>
  <c r="O20" i="6"/>
  <c r="P20" i="6"/>
  <c r="Q20" i="6"/>
  <c r="R20" i="6"/>
  <c r="S20" i="6"/>
  <c r="T20" i="6"/>
  <c r="U20" i="6"/>
  <c r="W20" i="6"/>
  <c r="O21" i="6"/>
  <c r="P21" i="6"/>
  <c r="Q21" i="6"/>
  <c r="R21" i="6"/>
  <c r="S21" i="6"/>
  <c r="T21" i="6"/>
  <c r="U21" i="6"/>
  <c r="W21" i="6"/>
  <c r="O22" i="6"/>
  <c r="P22" i="6"/>
  <c r="Q22" i="6"/>
  <c r="R22" i="6"/>
  <c r="S22" i="6"/>
  <c r="T22" i="6"/>
  <c r="U22" i="6"/>
  <c r="W22" i="6"/>
  <c r="O23" i="6"/>
  <c r="P23" i="6"/>
  <c r="Q23" i="6"/>
  <c r="R23" i="6"/>
  <c r="S23" i="6"/>
  <c r="T23" i="6"/>
  <c r="U23" i="6"/>
  <c r="W23" i="6"/>
  <c r="O24" i="6"/>
  <c r="P24" i="6"/>
  <c r="Q24" i="6"/>
  <c r="R24" i="6"/>
  <c r="S24" i="6"/>
  <c r="T24" i="6"/>
  <c r="U24" i="6"/>
  <c r="W24" i="6"/>
  <c r="O25" i="6"/>
  <c r="P25" i="6"/>
  <c r="Q25" i="6"/>
  <c r="R25" i="6"/>
  <c r="S25" i="6"/>
  <c r="T25" i="6"/>
  <c r="U25" i="6"/>
  <c r="W25" i="6"/>
  <c r="O26" i="6"/>
  <c r="P26" i="6"/>
  <c r="Q26" i="6"/>
  <c r="R26" i="6"/>
  <c r="S26" i="6"/>
  <c r="T26" i="6"/>
  <c r="U26" i="6"/>
  <c r="W26" i="6"/>
  <c r="O27" i="6"/>
  <c r="P27" i="6"/>
  <c r="Q27" i="6"/>
  <c r="R27" i="6"/>
  <c r="S27" i="6"/>
  <c r="T27" i="6"/>
  <c r="U27" i="6"/>
  <c r="W27" i="6"/>
  <c r="O28" i="6"/>
  <c r="P28" i="6"/>
  <c r="Q28" i="6"/>
  <c r="R28" i="6"/>
  <c r="S28" i="6"/>
  <c r="T28" i="6"/>
  <c r="U28" i="6"/>
  <c r="W28" i="6"/>
  <c r="O29" i="6"/>
  <c r="P29" i="6"/>
  <c r="Q29" i="6"/>
  <c r="R29" i="6"/>
  <c r="S29" i="6"/>
  <c r="T29" i="6"/>
  <c r="U29" i="6"/>
  <c r="W29" i="6"/>
  <c r="O30" i="6"/>
  <c r="P30" i="6"/>
  <c r="Q30" i="6"/>
  <c r="R30" i="6"/>
  <c r="S30" i="6"/>
  <c r="T30" i="6"/>
  <c r="U30" i="6"/>
  <c r="W30" i="6"/>
  <c r="O31" i="6"/>
  <c r="P31" i="6"/>
  <c r="Q31" i="6"/>
  <c r="R31" i="6"/>
  <c r="S31" i="6"/>
  <c r="T31" i="6"/>
  <c r="U31" i="6"/>
  <c r="W31" i="6"/>
  <c r="O32" i="6"/>
  <c r="P32" i="6"/>
  <c r="Q32" i="6"/>
  <c r="R32" i="6"/>
  <c r="S32" i="6"/>
  <c r="T32" i="6"/>
  <c r="U32" i="6"/>
  <c r="W32" i="6"/>
  <c r="O33" i="6"/>
  <c r="P33" i="6"/>
  <c r="Q33" i="6"/>
  <c r="R33" i="6"/>
  <c r="S33" i="6"/>
  <c r="T33" i="6"/>
  <c r="U33" i="6"/>
  <c r="W33" i="6"/>
  <c r="O34" i="6"/>
  <c r="P34" i="6"/>
  <c r="Q34" i="6"/>
  <c r="R34" i="6"/>
  <c r="S34" i="6"/>
  <c r="T34" i="6"/>
  <c r="U34" i="6"/>
  <c r="W34" i="6"/>
  <c r="O35" i="6"/>
  <c r="P35" i="6"/>
  <c r="Q35" i="6"/>
  <c r="R35" i="6"/>
  <c r="S35" i="6"/>
  <c r="T35" i="6"/>
  <c r="U35" i="6"/>
  <c r="W35" i="6"/>
  <c r="O36" i="6"/>
  <c r="P36" i="6"/>
  <c r="Q36" i="6"/>
  <c r="R36" i="6"/>
  <c r="S36" i="6"/>
  <c r="T36" i="6"/>
  <c r="U36" i="6"/>
  <c r="W36" i="6"/>
  <c r="O37" i="6"/>
  <c r="P37" i="6"/>
  <c r="Q37" i="6"/>
  <c r="R37" i="6"/>
  <c r="S37" i="6"/>
  <c r="T37" i="6"/>
  <c r="U37" i="6"/>
  <c r="W37" i="6"/>
  <c r="O38" i="6"/>
  <c r="P38" i="6"/>
  <c r="Q38" i="6"/>
  <c r="R38" i="6"/>
  <c r="S38" i="6"/>
  <c r="T38" i="6"/>
  <c r="U38" i="6"/>
  <c r="W38" i="6"/>
  <c r="O39" i="6"/>
  <c r="P39" i="6"/>
  <c r="Q39" i="6"/>
  <c r="R39" i="6"/>
  <c r="S39" i="6"/>
  <c r="T39" i="6"/>
  <c r="U39" i="6"/>
  <c r="W39" i="6"/>
  <c r="O40" i="6"/>
  <c r="P40" i="6"/>
  <c r="Q40" i="6"/>
  <c r="R40" i="6"/>
  <c r="S40" i="6"/>
  <c r="T40" i="6"/>
  <c r="U40" i="6"/>
  <c r="W40" i="6"/>
  <c r="O41" i="6"/>
  <c r="P41" i="6"/>
  <c r="Q41" i="6"/>
  <c r="R41" i="6"/>
  <c r="S41" i="6"/>
  <c r="T41" i="6"/>
  <c r="U41" i="6"/>
  <c r="W41" i="6"/>
  <c r="O42" i="6"/>
  <c r="P42" i="6"/>
  <c r="Q42" i="6"/>
  <c r="R42" i="6"/>
  <c r="S42" i="6"/>
  <c r="T42" i="6"/>
  <c r="U42" i="6"/>
  <c r="W42" i="6"/>
  <c r="O43" i="6"/>
  <c r="P43" i="6"/>
  <c r="Q43" i="6"/>
  <c r="R43" i="6"/>
  <c r="S43" i="6"/>
  <c r="T43" i="6"/>
  <c r="U43" i="6"/>
  <c r="W43" i="6"/>
  <c r="O44" i="6"/>
  <c r="P44" i="6"/>
  <c r="Q44" i="6"/>
  <c r="R44" i="6"/>
  <c r="S44" i="6"/>
  <c r="T44" i="6"/>
  <c r="U44" i="6"/>
  <c r="W44" i="6"/>
  <c r="O45" i="6"/>
  <c r="P45" i="6"/>
  <c r="Q45" i="6"/>
  <c r="R45" i="6"/>
  <c r="S45" i="6"/>
  <c r="T45" i="6"/>
  <c r="U45" i="6"/>
  <c r="W45" i="6"/>
  <c r="O46" i="6"/>
  <c r="P46" i="6"/>
  <c r="Q46" i="6"/>
  <c r="R46" i="6"/>
  <c r="S46" i="6"/>
  <c r="T46" i="6"/>
  <c r="U46" i="6"/>
  <c r="W46" i="6"/>
  <c r="O47" i="6"/>
  <c r="P47" i="6"/>
  <c r="Q47" i="6"/>
  <c r="R47" i="6"/>
  <c r="S47" i="6"/>
  <c r="T47" i="6"/>
  <c r="U47" i="6"/>
  <c r="W47" i="6"/>
  <c r="O48" i="6"/>
  <c r="P48" i="6"/>
  <c r="Q48" i="6"/>
  <c r="R48" i="6"/>
  <c r="S48" i="6"/>
  <c r="T48" i="6"/>
  <c r="U48" i="6"/>
  <c r="W48" i="6"/>
  <c r="O49" i="6"/>
  <c r="P49" i="6"/>
  <c r="Q49" i="6"/>
  <c r="R49" i="6"/>
  <c r="S49" i="6"/>
  <c r="T49" i="6"/>
  <c r="U49" i="6"/>
  <c r="W49" i="6"/>
  <c r="O50" i="6"/>
  <c r="P50" i="6"/>
  <c r="Q50" i="6"/>
  <c r="R50" i="6"/>
  <c r="S50" i="6"/>
  <c r="T50" i="6"/>
  <c r="U50" i="6"/>
  <c r="W50" i="6"/>
  <c r="O51" i="6"/>
  <c r="P51" i="6"/>
  <c r="Q51" i="6"/>
  <c r="R51" i="6"/>
  <c r="S51" i="6"/>
  <c r="T51" i="6"/>
  <c r="U51" i="6"/>
  <c r="W51" i="6"/>
  <c r="O52" i="6"/>
  <c r="P52" i="6"/>
  <c r="Q52" i="6"/>
  <c r="R52" i="6"/>
  <c r="S52" i="6"/>
  <c r="T52" i="6"/>
  <c r="U52" i="6"/>
  <c r="W52" i="6"/>
  <c r="O53" i="6"/>
  <c r="P53" i="6"/>
  <c r="Q53" i="6"/>
  <c r="R53" i="6"/>
  <c r="S53" i="6"/>
  <c r="T53" i="6"/>
  <c r="U53" i="6"/>
  <c r="W53" i="6"/>
  <c r="O54" i="6"/>
  <c r="P54" i="6"/>
  <c r="Q54" i="6"/>
  <c r="R54" i="6"/>
  <c r="S54" i="6"/>
  <c r="T54" i="6"/>
  <c r="U54" i="6"/>
  <c r="W54" i="6"/>
  <c r="O55" i="6"/>
  <c r="P55" i="6"/>
  <c r="Q55" i="6"/>
  <c r="R55" i="6"/>
  <c r="S55" i="6"/>
  <c r="T55" i="6"/>
  <c r="U55" i="6"/>
  <c r="W55" i="6"/>
  <c r="O56" i="6"/>
  <c r="P56" i="6"/>
  <c r="Q56" i="6"/>
  <c r="R56" i="6"/>
  <c r="S56" i="6"/>
  <c r="T56" i="6"/>
  <c r="U56" i="6"/>
  <c r="W56" i="6"/>
  <c r="O57" i="6"/>
  <c r="P57" i="6"/>
  <c r="Q57" i="6"/>
  <c r="R57" i="6"/>
  <c r="S57" i="6"/>
  <c r="T57" i="6"/>
  <c r="U57" i="6"/>
  <c r="W57" i="6"/>
  <c r="O58" i="6"/>
  <c r="P58" i="6"/>
  <c r="Q58" i="6"/>
  <c r="R58" i="6"/>
  <c r="S58" i="6"/>
  <c r="T58" i="6"/>
  <c r="U58" i="6"/>
  <c r="W58" i="6"/>
  <c r="O59" i="6"/>
  <c r="P59" i="6"/>
  <c r="Q59" i="6"/>
  <c r="R59" i="6"/>
  <c r="S59" i="6"/>
  <c r="T59" i="6"/>
  <c r="U59" i="6"/>
  <c r="W59" i="6"/>
  <c r="O60" i="6"/>
  <c r="P60" i="6"/>
  <c r="Q60" i="6"/>
  <c r="R60" i="6"/>
  <c r="S60" i="6"/>
  <c r="T60" i="6"/>
  <c r="U60" i="6"/>
  <c r="W60" i="6"/>
  <c r="O61" i="6"/>
  <c r="P61" i="6"/>
  <c r="Q61" i="6"/>
  <c r="R61" i="6"/>
  <c r="S61" i="6"/>
  <c r="T61" i="6"/>
  <c r="U61" i="6"/>
  <c r="W61" i="6"/>
  <c r="O62" i="6"/>
  <c r="P62" i="6"/>
  <c r="Q62" i="6"/>
  <c r="R62" i="6"/>
  <c r="S62" i="6"/>
  <c r="T62" i="6"/>
  <c r="U62" i="6"/>
  <c r="W62" i="6"/>
  <c r="O63" i="6"/>
  <c r="P63" i="6"/>
  <c r="Q63" i="6"/>
  <c r="R63" i="6"/>
  <c r="S63" i="6"/>
  <c r="T63" i="6"/>
  <c r="U63" i="6"/>
  <c r="W63" i="6"/>
  <c r="O64" i="6"/>
  <c r="P64" i="6"/>
  <c r="Q64" i="6"/>
  <c r="R64" i="6"/>
  <c r="S64" i="6"/>
  <c r="T64" i="6"/>
  <c r="U64" i="6"/>
  <c r="W64" i="6"/>
  <c r="O65" i="6"/>
  <c r="P65" i="6"/>
  <c r="Q65" i="6"/>
  <c r="R65" i="6"/>
  <c r="S65" i="6"/>
  <c r="T65" i="6"/>
  <c r="U65" i="6"/>
  <c r="W65" i="6"/>
  <c r="O66" i="6"/>
  <c r="P66" i="6"/>
  <c r="Q66" i="6"/>
  <c r="R66" i="6"/>
  <c r="S66" i="6"/>
  <c r="T66" i="6"/>
  <c r="U66" i="6"/>
  <c r="W66" i="6"/>
  <c r="O67" i="6"/>
  <c r="P67" i="6"/>
  <c r="Q67" i="6"/>
  <c r="R67" i="6"/>
  <c r="S67" i="6"/>
  <c r="T67" i="6"/>
  <c r="U67" i="6"/>
  <c r="W67" i="6"/>
  <c r="O68" i="6"/>
  <c r="P68" i="6"/>
  <c r="Q68" i="6"/>
  <c r="R68" i="6"/>
  <c r="S68" i="6"/>
  <c r="T68" i="6"/>
  <c r="U68" i="6"/>
  <c r="W68" i="6"/>
  <c r="O69" i="6"/>
  <c r="P69" i="6"/>
  <c r="Q69" i="6"/>
  <c r="R69" i="6"/>
  <c r="S69" i="6"/>
  <c r="T69" i="6"/>
  <c r="U69" i="6"/>
  <c r="W69" i="6"/>
  <c r="O70" i="6"/>
  <c r="P70" i="6"/>
  <c r="Q70" i="6"/>
  <c r="R70" i="6"/>
  <c r="S70" i="6"/>
  <c r="T70" i="6"/>
  <c r="U70" i="6"/>
  <c r="W70" i="6"/>
  <c r="O71" i="6"/>
  <c r="P71" i="6"/>
  <c r="Q71" i="6"/>
  <c r="R71" i="6"/>
  <c r="S71" i="6"/>
  <c r="T71" i="6"/>
  <c r="U71" i="6"/>
  <c r="W71" i="6"/>
  <c r="O72" i="6"/>
  <c r="P72" i="6"/>
  <c r="Q72" i="6"/>
  <c r="R72" i="6"/>
  <c r="S72" i="6"/>
  <c r="T72" i="6"/>
  <c r="U72" i="6"/>
  <c r="W72" i="6"/>
  <c r="O73" i="6"/>
  <c r="P73" i="6"/>
  <c r="Q73" i="6"/>
  <c r="R73" i="6"/>
  <c r="S73" i="6"/>
  <c r="T73" i="6"/>
  <c r="U73" i="6"/>
  <c r="W73" i="6"/>
  <c r="O74" i="6"/>
  <c r="P74" i="6"/>
  <c r="Q74" i="6"/>
  <c r="R74" i="6"/>
  <c r="S74" i="6"/>
  <c r="T74" i="6"/>
  <c r="U74" i="6"/>
  <c r="W74" i="6"/>
  <c r="O75" i="6"/>
  <c r="P75" i="6"/>
  <c r="Q75" i="6"/>
  <c r="R75" i="6"/>
  <c r="S75" i="6"/>
  <c r="T75" i="6"/>
  <c r="U75" i="6"/>
  <c r="W75" i="6"/>
  <c r="O76" i="6"/>
  <c r="P76" i="6"/>
  <c r="Q76" i="6"/>
  <c r="R76" i="6"/>
  <c r="S76" i="6"/>
  <c r="T76" i="6"/>
  <c r="U76" i="6"/>
  <c r="W76" i="6"/>
  <c r="O77" i="6"/>
  <c r="P77" i="6"/>
  <c r="Q77" i="6"/>
  <c r="R77" i="6"/>
  <c r="S77" i="6"/>
  <c r="T77" i="6"/>
  <c r="U77" i="6"/>
  <c r="W77" i="6"/>
  <c r="O78" i="6"/>
  <c r="P78" i="6"/>
  <c r="Q78" i="6"/>
  <c r="R78" i="6"/>
  <c r="S78" i="6"/>
  <c r="T78" i="6"/>
  <c r="U78" i="6"/>
  <c r="W78" i="6"/>
  <c r="O79" i="6"/>
  <c r="P79" i="6"/>
  <c r="Q79" i="6"/>
  <c r="R79" i="6"/>
  <c r="S79" i="6"/>
  <c r="T79" i="6"/>
  <c r="U79" i="6"/>
  <c r="W79" i="6"/>
  <c r="O80" i="6"/>
  <c r="P80" i="6"/>
  <c r="Q80" i="6"/>
  <c r="R80" i="6"/>
  <c r="S80" i="6"/>
  <c r="T80" i="6"/>
  <c r="U80" i="6"/>
  <c r="W80" i="6"/>
  <c r="O81" i="6"/>
  <c r="P81" i="6"/>
  <c r="Q81" i="6"/>
  <c r="R81" i="6"/>
  <c r="S81" i="6"/>
  <c r="T81" i="6"/>
  <c r="U81" i="6"/>
  <c r="W81" i="6"/>
  <c r="O82" i="6"/>
  <c r="P82" i="6"/>
  <c r="Q82" i="6"/>
  <c r="R82" i="6"/>
  <c r="S82" i="6"/>
  <c r="T82" i="6"/>
  <c r="U82" i="6"/>
  <c r="W82" i="6"/>
  <c r="O83" i="6"/>
  <c r="P83" i="6"/>
  <c r="Q83" i="6"/>
  <c r="R83" i="6"/>
  <c r="S83" i="6"/>
  <c r="T83" i="6"/>
  <c r="U83" i="6"/>
  <c r="W83" i="6"/>
  <c r="O84" i="6"/>
  <c r="P84" i="6"/>
  <c r="Q84" i="6"/>
  <c r="R84" i="6"/>
  <c r="S84" i="6"/>
  <c r="T84" i="6"/>
  <c r="U84" i="6"/>
  <c r="W84" i="6"/>
  <c r="O85" i="6"/>
  <c r="P85" i="6"/>
  <c r="Q85" i="6"/>
  <c r="R85" i="6"/>
  <c r="S85" i="6"/>
  <c r="T85" i="6"/>
  <c r="U85" i="6"/>
  <c r="W85" i="6"/>
  <c r="O86" i="6"/>
  <c r="P86" i="6"/>
  <c r="Q86" i="6"/>
  <c r="R86" i="6"/>
  <c r="S86" i="6"/>
  <c r="T86" i="6"/>
  <c r="U86" i="6"/>
  <c r="W86" i="6"/>
  <c r="O87" i="6"/>
  <c r="P87" i="6"/>
  <c r="Q87" i="6"/>
  <c r="R87" i="6"/>
  <c r="S87" i="6"/>
  <c r="T87" i="6"/>
  <c r="U87" i="6"/>
  <c r="W87" i="6"/>
  <c r="O88" i="6"/>
  <c r="P88" i="6"/>
  <c r="Q88" i="6"/>
  <c r="R88" i="6"/>
  <c r="S88" i="6"/>
  <c r="T88" i="6"/>
  <c r="U88" i="6"/>
  <c r="W88" i="6"/>
  <c r="O89" i="6"/>
  <c r="P89" i="6"/>
  <c r="Q89" i="6"/>
  <c r="R89" i="6"/>
  <c r="S89" i="6"/>
  <c r="T89" i="6"/>
  <c r="U89" i="6"/>
  <c r="W89" i="6"/>
  <c r="O90" i="6"/>
  <c r="P90" i="6"/>
  <c r="Q90" i="6"/>
  <c r="R90" i="6"/>
  <c r="S90" i="6"/>
  <c r="T90" i="6"/>
  <c r="U90" i="6"/>
  <c r="W90" i="6"/>
  <c r="O91" i="6"/>
  <c r="P91" i="6"/>
  <c r="Q91" i="6"/>
  <c r="R91" i="6"/>
  <c r="S91" i="6"/>
  <c r="T91" i="6"/>
  <c r="U91" i="6"/>
  <c r="W91" i="6"/>
  <c r="O92" i="6"/>
  <c r="P92" i="6"/>
  <c r="Q92" i="6"/>
  <c r="R92" i="6"/>
  <c r="S92" i="6"/>
  <c r="T92" i="6"/>
  <c r="U92" i="6"/>
  <c r="W92" i="6"/>
  <c r="O93" i="6"/>
  <c r="P93" i="6"/>
  <c r="Q93" i="6"/>
  <c r="R93" i="6"/>
  <c r="S93" i="6"/>
  <c r="T93" i="6"/>
  <c r="U93" i="6"/>
  <c r="W93" i="6"/>
  <c r="O94" i="6"/>
  <c r="P94" i="6"/>
  <c r="Q94" i="6"/>
  <c r="R94" i="6"/>
  <c r="S94" i="6"/>
  <c r="T94" i="6"/>
  <c r="U94" i="6"/>
  <c r="W94" i="6"/>
  <c r="O95" i="6"/>
  <c r="P95" i="6"/>
  <c r="Q95" i="6"/>
  <c r="R95" i="6"/>
  <c r="S95" i="6"/>
  <c r="T95" i="6"/>
  <c r="U95" i="6"/>
  <c r="W95" i="6"/>
  <c r="O96" i="6"/>
  <c r="P96" i="6"/>
  <c r="Q96" i="6"/>
  <c r="R96" i="6"/>
  <c r="S96" i="6"/>
  <c r="T96" i="6"/>
  <c r="U96" i="6"/>
  <c r="W96" i="6"/>
  <c r="O97" i="6"/>
  <c r="P97" i="6"/>
  <c r="Q97" i="6"/>
  <c r="R97" i="6"/>
  <c r="S97" i="6"/>
  <c r="T97" i="6"/>
  <c r="U97" i="6"/>
  <c r="W97" i="6"/>
  <c r="O98" i="6"/>
  <c r="P98" i="6"/>
  <c r="Q98" i="6"/>
  <c r="R98" i="6"/>
  <c r="S98" i="6"/>
  <c r="T98" i="6"/>
  <c r="U98" i="6"/>
  <c r="W98" i="6"/>
  <c r="O99" i="6"/>
  <c r="P99" i="6"/>
  <c r="Q99" i="6"/>
  <c r="R99" i="6"/>
  <c r="S99" i="6"/>
  <c r="T99" i="6"/>
  <c r="U99" i="6"/>
  <c r="W99" i="6"/>
  <c r="O100" i="6"/>
  <c r="P100" i="6"/>
  <c r="Q100" i="6"/>
  <c r="R100" i="6"/>
  <c r="S100" i="6"/>
  <c r="T100" i="6"/>
  <c r="U100" i="6"/>
  <c r="W100" i="6"/>
  <c r="O101" i="6"/>
  <c r="P101" i="6"/>
  <c r="Q101" i="6"/>
  <c r="R101" i="6"/>
  <c r="S101" i="6"/>
  <c r="T101" i="6"/>
  <c r="U101" i="6"/>
  <c r="W101" i="6"/>
  <c r="O102" i="6"/>
  <c r="P102" i="6"/>
  <c r="Q102" i="6"/>
  <c r="R102" i="6"/>
  <c r="S102" i="6"/>
  <c r="T102" i="6"/>
  <c r="U102" i="6"/>
  <c r="W102" i="6"/>
  <c r="O103" i="6"/>
  <c r="P103" i="6"/>
  <c r="Q103" i="6"/>
  <c r="R103" i="6"/>
  <c r="S103" i="6"/>
  <c r="T103" i="6"/>
  <c r="U103" i="6"/>
  <c r="W103" i="6"/>
  <c r="O104" i="6"/>
  <c r="P104" i="6"/>
  <c r="Q104" i="6"/>
  <c r="R104" i="6"/>
  <c r="S104" i="6"/>
  <c r="T104" i="6"/>
  <c r="U104" i="6"/>
  <c r="W104" i="6"/>
  <c r="O105" i="6"/>
  <c r="P105" i="6"/>
  <c r="Q105" i="6"/>
  <c r="R105" i="6"/>
  <c r="S105" i="6"/>
  <c r="T105" i="6"/>
  <c r="U105" i="6"/>
  <c r="W105" i="6"/>
  <c r="O106" i="6"/>
  <c r="P106" i="6"/>
  <c r="Q106" i="6"/>
  <c r="R106" i="6"/>
  <c r="S106" i="6"/>
  <c r="T106" i="6"/>
  <c r="U106" i="6"/>
  <c r="W106" i="6"/>
  <c r="O107" i="6"/>
  <c r="P107" i="6"/>
  <c r="Q107" i="6"/>
  <c r="R107" i="6"/>
  <c r="S107" i="6"/>
  <c r="T107" i="6"/>
  <c r="U107" i="6"/>
  <c r="W107" i="6"/>
  <c r="O108" i="6"/>
  <c r="P108" i="6"/>
  <c r="Q108" i="6"/>
  <c r="R108" i="6"/>
  <c r="S108" i="6"/>
  <c r="T108" i="6"/>
  <c r="U108" i="6"/>
  <c r="W108" i="6"/>
  <c r="O109" i="6"/>
  <c r="P109" i="6"/>
  <c r="Q109" i="6"/>
  <c r="R109" i="6"/>
  <c r="S109" i="6"/>
  <c r="T109" i="6"/>
  <c r="U109" i="6"/>
  <c r="W109" i="6"/>
  <c r="O110" i="6"/>
  <c r="P110" i="6"/>
  <c r="Q110" i="6"/>
  <c r="R110" i="6"/>
  <c r="S110" i="6"/>
  <c r="T110" i="6"/>
  <c r="U110" i="6"/>
  <c r="W110" i="6"/>
  <c r="O111" i="6"/>
  <c r="P111" i="6"/>
  <c r="Q111" i="6"/>
  <c r="R111" i="6"/>
  <c r="S111" i="6"/>
  <c r="T111" i="6"/>
  <c r="U111" i="6"/>
  <c r="W111" i="6"/>
  <c r="O112" i="6"/>
  <c r="P112" i="6"/>
  <c r="Q112" i="6"/>
  <c r="R112" i="6"/>
  <c r="S112" i="6"/>
  <c r="T112" i="6"/>
  <c r="U112" i="6"/>
  <c r="W112" i="6"/>
  <c r="O113" i="6"/>
  <c r="P113" i="6"/>
  <c r="Q113" i="6"/>
  <c r="R113" i="6"/>
  <c r="S113" i="6"/>
  <c r="T113" i="6"/>
  <c r="U113" i="6"/>
  <c r="W113" i="6"/>
  <c r="O114" i="6"/>
  <c r="P114" i="6"/>
  <c r="Q114" i="6"/>
  <c r="R114" i="6"/>
  <c r="S114" i="6"/>
  <c r="T114" i="6"/>
  <c r="U114" i="6"/>
  <c r="W114" i="6"/>
  <c r="O115" i="6"/>
  <c r="P115" i="6"/>
  <c r="Q115" i="6"/>
  <c r="R115" i="6"/>
  <c r="S115" i="6"/>
  <c r="T115" i="6"/>
  <c r="U115" i="6"/>
  <c r="W115" i="6"/>
  <c r="O116" i="6"/>
  <c r="P116" i="6"/>
  <c r="Q116" i="6"/>
  <c r="R116" i="6"/>
  <c r="S116" i="6"/>
  <c r="T116" i="6"/>
  <c r="U116" i="6"/>
  <c r="W116" i="6"/>
  <c r="O117" i="6"/>
  <c r="P117" i="6"/>
  <c r="Q117" i="6"/>
  <c r="R117" i="6"/>
  <c r="S117" i="6"/>
  <c r="T117" i="6"/>
  <c r="U117" i="6"/>
  <c r="W117" i="6"/>
  <c r="O118" i="6"/>
  <c r="P118" i="6"/>
  <c r="Q118" i="6"/>
  <c r="R118" i="6"/>
  <c r="S118" i="6"/>
  <c r="T118" i="6"/>
  <c r="U118" i="6"/>
  <c r="W118" i="6"/>
  <c r="O119" i="6"/>
  <c r="P119" i="6"/>
  <c r="Q119" i="6"/>
  <c r="R119" i="6"/>
  <c r="S119" i="6"/>
  <c r="T119" i="6"/>
  <c r="U119" i="6"/>
  <c r="W119" i="6"/>
  <c r="O120" i="6"/>
  <c r="P120" i="6"/>
  <c r="Q120" i="6"/>
  <c r="R120" i="6"/>
  <c r="S120" i="6"/>
  <c r="T120" i="6"/>
  <c r="U120" i="6"/>
  <c r="W120" i="6"/>
  <c r="O121" i="6"/>
  <c r="P121" i="6"/>
  <c r="Q121" i="6"/>
  <c r="R121" i="6"/>
  <c r="S121" i="6"/>
  <c r="T121" i="6"/>
  <c r="U121" i="6"/>
  <c r="W121" i="6"/>
  <c r="O122" i="6"/>
  <c r="P122" i="6"/>
  <c r="Q122" i="6"/>
  <c r="R122" i="6"/>
  <c r="S122" i="6"/>
  <c r="T122" i="6"/>
  <c r="U122" i="6"/>
  <c r="W122" i="6"/>
  <c r="O123" i="6"/>
  <c r="P123" i="6"/>
  <c r="Q123" i="6"/>
  <c r="R123" i="6"/>
  <c r="S123" i="6"/>
  <c r="T123" i="6"/>
  <c r="U123" i="6"/>
  <c r="W123" i="6"/>
  <c r="O124" i="6"/>
  <c r="P124" i="6"/>
  <c r="Q124" i="6"/>
  <c r="R124" i="6"/>
  <c r="S124" i="6"/>
  <c r="T124" i="6"/>
  <c r="U124" i="6"/>
  <c r="W124" i="6"/>
  <c r="O125" i="6"/>
  <c r="P125" i="6"/>
  <c r="Q125" i="6"/>
  <c r="R125" i="6"/>
  <c r="S125" i="6"/>
  <c r="T125" i="6"/>
  <c r="U125" i="6"/>
  <c r="W125" i="6"/>
  <c r="O126" i="6"/>
  <c r="P126" i="6"/>
  <c r="Q126" i="6"/>
  <c r="R126" i="6"/>
  <c r="S126" i="6"/>
  <c r="T126" i="6"/>
  <c r="U126" i="6"/>
  <c r="W126" i="6"/>
  <c r="O127" i="6"/>
  <c r="P127" i="6"/>
  <c r="Q127" i="6"/>
  <c r="R127" i="6"/>
  <c r="S127" i="6"/>
  <c r="T127" i="6"/>
  <c r="U127" i="6"/>
  <c r="W127" i="6"/>
  <c r="O128" i="6"/>
  <c r="P128" i="6"/>
  <c r="Q128" i="6"/>
  <c r="R128" i="6"/>
  <c r="S128" i="6"/>
  <c r="T128" i="6"/>
  <c r="U128" i="6"/>
  <c r="W128" i="6"/>
  <c r="O129" i="6"/>
  <c r="P129" i="6"/>
  <c r="Q129" i="6"/>
  <c r="R129" i="6"/>
  <c r="S129" i="6"/>
  <c r="T129" i="6"/>
  <c r="U129" i="6"/>
  <c r="W129" i="6"/>
  <c r="O130" i="6"/>
  <c r="P130" i="6"/>
  <c r="Q130" i="6"/>
  <c r="R130" i="6"/>
  <c r="S130" i="6"/>
  <c r="T130" i="6"/>
  <c r="U130" i="6"/>
  <c r="W130" i="6"/>
  <c r="O131" i="6"/>
  <c r="P131" i="6"/>
  <c r="Q131" i="6"/>
  <c r="R131" i="6"/>
  <c r="S131" i="6"/>
  <c r="T131" i="6"/>
  <c r="U131" i="6"/>
  <c r="W131" i="6"/>
  <c r="O132" i="6"/>
  <c r="P132" i="6"/>
  <c r="Q132" i="6"/>
  <c r="R132" i="6"/>
  <c r="S132" i="6"/>
  <c r="T132" i="6"/>
  <c r="U132" i="6"/>
  <c r="W132" i="6"/>
  <c r="O133" i="6"/>
  <c r="P133" i="6"/>
  <c r="Q133" i="6"/>
  <c r="R133" i="6"/>
  <c r="S133" i="6"/>
  <c r="T133" i="6"/>
  <c r="U133" i="6"/>
  <c r="W133" i="6"/>
  <c r="O134" i="6"/>
  <c r="P134" i="6"/>
  <c r="Q134" i="6"/>
  <c r="R134" i="6"/>
  <c r="S134" i="6"/>
  <c r="T134" i="6"/>
  <c r="U134" i="6"/>
  <c r="W134" i="6"/>
  <c r="O135" i="6"/>
  <c r="P135" i="6"/>
  <c r="Q135" i="6"/>
  <c r="R135" i="6"/>
  <c r="S135" i="6"/>
  <c r="T135" i="6"/>
  <c r="U135" i="6"/>
  <c r="W135" i="6"/>
  <c r="O136" i="6"/>
  <c r="P136" i="6"/>
  <c r="Q136" i="6"/>
  <c r="R136" i="6"/>
  <c r="S136" i="6"/>
  <c r="T136" i="6"/>
  <c r="U136" i="6"/>
  <c r="W136" i="6"/>
  <c r="O137" i="6"/>
  <c r="P137" i="6"/>
  <c r="Q137" i="6"/>
  <c r="R137" i="6"/>
  <c r="S137" i="6"/>
  <c r="T137" i="6"/>
  <c r="U137" i="6"/>
  <c r="W137" i="6"/>
  <c r="O138" i="6"/>
  <c r="P138" i="6"/>
  <c r="Q138" i="6"/>
  <c r="R138" i="6"/>
  <c r="S138" i="6"/>
  <c r="T138" i="6"/>
  <c r="U138" i="6"/>
  <c r="W138" i="6"/>
  <c r="O139" i="6"/>
  <c r="P139" i="6"/>
  <c r="Q139" i="6"/>
  <c r="R139" i="6"/>
  <c r="S139" i="6"/>
  <c r="T139" i="6"/>
  <c r="U139" i="6"/>
  <c r="W139" i="6"/>
  <c r="O140" i="6"/>
  <c r="P140" i="6"/>
  <c r="Q140" i="6"/>
  <c r="R140" i="6"/>
  <c r="S140" i="6"/>
  <c r="T140" i="6"/>
  <c r="U140" i="6"/>
  <c r="W140" i="6"/>
  <c r="O141" i="6"/>
  <c r="P141" i="6"/>
  <c r="Q141" i="6"/>
  <c r="R141" i="6"/>
  <c r="S141" i="6"/>
  <c r="T141" i="6"/>
  <c r="U141" i="6"/>
  <c r="W141" i="6"/>
  <c r="O142" i="6"/>
  <c r="P142" i="6"/>
  <c r="Q142" i="6"/>
  <c r="R142" i="6"/>
  <c r="S142" i="6"/>
  <c r="T142" i="6"/>
  <c r="U142" i="6"/>
  <c r="W142" i="6"/>
  <c r="O143" i="6"/>
  <c r="P143" i="6"/>
  <c r="Q143" i="6"/>
  <c r="R143" i="6"/>
  <c r="S143" i="6"/>
  <c r="T143" i="6"/>
  <c r="U143" i="6"/>
  <c r="W143" i="6"/>
  <c r="O144" i="6"/>
  <c r="P144" i="6"/>
  <c r="Q144" i="6"/>
  <c r="R144" i="6"/>
  <c r="S144" i="6"/>
  <c r="T144" i="6"/>
  <c r="U144" i="6"/>
  <c r="W144" i="6"/>
  <c r="O145" i="6"/>
  <c r="P145" i="6"/>
  <c r="Q145" i="6"/>
  <c r="R145" i="6"/>
  <c r="S145" i="6"/>
  <c r="T145" i="6"/>
  <c r="U145" i="6"/>
  <c r="W145" i="6"/>
  <c r="O146" i="6"/>
  <c r="P146" i="6"/>
  <c r="Q146" i="6"/>
  <c r="R146" i="6"/>
  <c r="S146" i="6"/>
  <c r="T146" i="6"/>
  <c r="U146" i="6"/>
  <c r="W146" i="6"/>
  <c r="O147" i="6"/>
  <c r="P147" i="6"/>
  <c r="Q147" i="6"/>
  <c r="R147" i="6"/>
  <c r="S147" i="6"/>
  <c r="T147" i="6"/>
  <c r="U147" i="6"/>
  <c r="W147" i="6"/>
  <c r="O148" i="6"/>
  <c r="P148" i="6"/>
  <c r="Q148" i="6"/>
  <c r="R148" i="6"/>
  <c r="S148" i="6"/>
  <c r="T148" i="6"/>
  <c r="U148" i="6"/>
  <c r="W148" i="6"/>
  <c r="O149" i="6"/>
  <c r="P149" i="6"/>
  <c r="Q149" i="6"/>
  <c r="R149" i="6"/>
  <c r="S149" i="6"/>
  <c r="T149" i="6"/>
  <c r="U149" i="6"/>
  <c r="W149" i="6"/>
  <c r="O150" i="6"/>
  <c r="P150" i="6"/>
  <c r="Q150" i="6"/>
  <c r="R150" i="6"/>
  <c r="S150" i="6"/>
  <c r="T150" i="6"/>
  <c r="U150" i="6"/>
  <c r="W150" i="6"/>
  <c r="O151" i="6"/>
  <c r="P151" i="6"/>
  <c r="Q151" i="6"/>
  <c r="R151" i="6"/>
  <c r="S151" i="6"/>
  <c r="T151" i="6"/>
  <c r="U151" i="6"/>
  <c r="W151" i="6"/>
  <c r="O152" i="6"/>
  <c r="P152" i="6"/>
  <c r="Q152" i="6"/>
  <c r="R152" i="6"/>
  <c r="S152" i="6"/>
  <c r="T152" i="6"/>
  <c r="U152" i="6"/>
  <c r="W152" i="6"/>
  <c r="O153" i="6"/>
  <c r="P153" i="6"/>
  <c r="Q153" i="6"/>
  <c r="R153" i="6"/>
  <c r="S153" i="6"/>
  <c r="T153" i="6"/>
  <c r="U153" i="6"/>
  <c r="W153" i="6"/>
  <c r="O154" i="6"/>
  <c r="P154" i="6"/>
  <c r="Q154" i="6"/>
  <c r="R154" i="6"/>
  <c r="S154" i="6"/>
  <c r="T154" i="6"/>
  <c r="U154" i="6"/>
  <c r="W154" i="6"/>
  <c r="O155" i="6"/>
  <c r="P155" i="6"/>
  <c r="Q155" i="6"/>
  <c r="R155" i="6"/>
  <c r="S155" i="6"/>
  <c r="T155" i="6"/>
  <c r="U155" i="6"/>
  <c r="W155" i="6"/>
  <c r="O156" i="6"/>
  <c r="P156" i="6"/>
  <c r="Q156" i="6"/>
  <c r="R156" i="6"/>
  <c r="S156" i="6"/>
  <c r="T156" i="6"/>
  <c r="U156" i="6"/>
  <c r="W156" i="6"/>
  <c r="O157" i="6"/>
  <c r="P157" i="6"/>
  <c r="Q157" i="6"/>
  <c r="R157" i="6"/>
  <c r="S157" i="6"/>
  <c r="T157" i="6"/>
  <c r="U157" i="6"/>
  <c r="W157" i="6"/>
  <c r="O158" i="6"/>
  <c r="P158" i="6"/>
  <c r="Q158" i="6"/>
  <c r="R158" i="6"/>
  <c r="S158" i="6"/>
  <c r="T158" i="6"/>
  <c r="U158" i="6"/>
  <c r="W158" i="6"/>
  <c r="O159" i="6"/>
  <c r="P159" i="6"/>
  <c r="Q159" i="6"/>
  <c r="R159" i="6"/>
  <c r="S159" i="6"/>
  <c r="T159" i="6"/>
  <c r="U159" i="6"/>
  <c r="W159" i="6"/>
  <c r="O160" i="6"/>
  <c r="P160" i="6"/>
  <c r="Q160" i="6"/>
  <c r="R160" i="6"/>
  <c r="S160" i="6"/>
  <c r="T160" i="6"/>
  <c r="U160" i="6"/>
  <c r="W160" i="6"/>
  <c r="O161" i="6"/>
  <c r="P161" i="6"/>
  <c r="Q161" i="6"/>
  <c r="R161" i="6"/>
  <c r="S161" i="6"/>
  <c r="T161" i="6"/>
  <c r="U161" i="6"/>
  <c r="W161" i="6"/>
  <c r="O162" i="6"/>
  <c r="P162" i="6"/>
  <c r="Q162" i="6"/>
  <c r="R162" i="6"/>
  <c r="S162" i="6"/>
  <c r="T162" i="6"/>
  <c r="U162" i="6"/>
  <c r="W162" i="6"/>
  <c r="O163" i="6"/>
  <c r="P163" i="6"/>
  <c r="Q163" i="6"/>
  <c r="R163" i="6"/>
  <c r="S163" i="6"/>
  <c r="T163" i="6"/>
  <c r="U163" i="6"/>
  <c r="W163" i="6"/>
  <c r="O164" i="6"/>
  <c r="P164" i="6"/>
  <c r="Q164" i="6"/>
  <c r="R164" i="6"/>
  <c r="S164" i="6"/>
  <c r="T164" i="6"/>
  <c r="U164" i="6"/>
  <c r="W164" i="6"/>
  <c r="O165" i="6"/>
  <c r="P165" i="6"/>
  <c r="Q165" i="6"/>
  <c r="R165" i="6"/>
  <c r="S165" i="6"/>
  <c r="T165" i="6"/>
  <c r="U165" i="6"/>
  <c r="W165" i="6"/>
  <c r="O166" i="6"/>
  <c r="P166" i="6"/>
  <c r="Q166" i="6"/>
  <c r="R166" i="6"/>
  <c r="S166" i="6"/>
  <c r="T166" i="6"/>
  <c r="U166" i="6"/>
  <c r="W166" i="6"/>
  <c r="O167" i="6"/>
  <c r="P167" i="6"/>
  <c r="Q167" i="6"/>
  <c r="R167" i="6"/>
  <c r="S167" i="6"/>
  <c r="T167" i="6"/>
  <c r="U167" i="6"/>
  <c r="W167" i="6"/>
  <c r="O168" i="6"/>
  <c r="P168" i="6"/>
  <c r="Q168" i="6"/>
  <c r="R168" i="6"/>
  <c r="S168" i="6"/>
  <c r="T168" i="6"/>
  <c r="U168" i="6"/>
  <c r="W168" i="6"/>
  <c r="O169" i="6"/>
  <c r="P169" i="6"/>
  <c r="Q169" i="6"/>
  <c r="R169" i="6"/>
  <c r="S169" i="6"/>
  <c r="T169" i="6"/>
  <c r="U169" i="6"/>
  <c r="W169" i="6"/>
  <c r="O170" i="6"/>
  <c r="P170" i="6"/>
  <c r="Q170" i="6"/>
  <c r="R170" i="6"/>
  <c r="S170" i="6"/>
  <c r="T170" i="6"/>
  <c r="U170" i="6"/>
  <c r="W170" i="6"/>
  <c r="O171" i="6"/>
  <c r="P171" i="6"/>
  <c r="Q171" i="6"/>
  <c r="R171" i="6"/>
  <c r="S171" i="6"/>
  <c r="T171" i="6"/>
  <c r="U171" i="6"/>
  <c r="W171" i="6"/>
  <c r="O2" i="6"/>
  <c r="P2" i="6"/>
  <c r="Q2" i="6"/>
  <c r="R2" i="6"/>
  <c r="S2" i="6"/>
  <c r="T2" i="6"/>
  <c r="U2" i="6"/>
  <c r="V2" i="6" a="1"/>
  <c r="V2" i="6" s="1"/>
  <c r="W2" i="6"/>
  <c r="F7" i="5"/>
  <c r="K4" i="3"/>
  <c r="B7" i="5"/>
  <c r="I19" i="8"/>
  <c r="D19" i="8"/>
  <c r="I18" i="8"/>
  <c r="D18" i="8"/>
  <c r="I17" i="8"/>
  <c r="D17" i="8"/>
  <c r="I16" i="8"/>
  <c r="D16" i="8"/>
  <c r="I15" i="8"/>
  <c r="D15" i="8"/>
  <c r="I9" i="8"/>
  <c r="D9" i="8"/>
  <c r="I8" i="8"/>
  <c r="D8" i="8"/>
  <c r="I7" i="8"/>
  <c r="D7" i="8"/>
  <c r="I6" i="8"/>
  <c r="D6" i="8"/>
  <c r="I5" i="8"/>
  <c r="D5" i="8"/>
  <c r="M4" i="3"/>
  <c r="AD2" i="6" l="1" a="1"/>
  <c r="AD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<sst xmlns="http://schemas.openxmlformats.org/spreadsheetml/2006/main" count="4051" uniqueCount="511">
  <si>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</si>
  <si>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</si>
  <si>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</si>
  <si>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</si>
  <si>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</si>
  <si>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</si>
  <si>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</si>
  <si>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</si>
  <si>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</si>
  <si>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</si>
  <si>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</si>
  <si>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</si>
  <si>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</si>
  <si>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</si>
  <si>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</si>
  <si>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</si>
  <si>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</si>
  <si>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</si>
  <si>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</si>
  <si>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</si>
  <si>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</si>
  <si>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</si>
  <si>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</si>
  <si>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</si>
  <si>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</si>
  <si>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</si>
  <si>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</si>
  <si>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</si>
  <si>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</si>
  <si>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</si>
  <si>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</si>
  <si>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</si>
  <si>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</si>
  <si>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</si>
  <si>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</si>
  <si>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</si>
  <si>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</si>
  <si>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</si>
  <si>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</si>
  <si>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</si>
  <si>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</si>
  <si>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</si>
  <si>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</si>
  <si>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</si>
  <si>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</si>
  <si>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</si>
  <si>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</si>
  <si>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</si>
  <si>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</si>
  <si>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</si>
  <si>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</si>
  <si>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</si>
  <si>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</si>
  <si>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</si>
  <si>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</si>
  <si>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</si>
  <si>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</si>
  <si>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</si>
  <si>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</si>
  <si>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</si>
  <si>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</si>
  <si>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</si>
  <si>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</si>
  <si>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</si>
  <si>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</si>
  <si>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</si>
  <si>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</si>
  <si>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</si>
  <si>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</si>
  <si>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</si>
  <si>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</si>
  <si>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</si>
  <si>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</si>
  <si>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</si>
  <si>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</si>
  <si>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</si>
  <si>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</si>
  <si>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</si>
  <si>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</si>
  <si>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</si>
  <si>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</si>
  <si>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</si>
  <si>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</si>
  <si>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</si>
  <si>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</si>
  <si>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</si>
  <si>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</si>
  <si>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</si>
  <si>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</si>
  <si>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</si>
  <si>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</si>
  <si>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</si>
  <si>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</si>
  <si>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</si>
  <si>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</si>
  <si>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</si>
  <si>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</si>
  <si>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</si>
  <si>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</si>
  <si>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</si>
  <si>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</si>
  <si>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</si>
  <si>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</si>
  <si>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</si>
  <si>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</si>
  <si>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</si>
  <si>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</si>
  <si>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</si>
  <si>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</si>
  <si>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</si>
  <si>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</si>
  <si>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</si>
  <si>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</si>
  <si>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</si>
  <si>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</si>
  <si>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</si>
  <si>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</si>
  <si>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</si>
  <si>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</si>
  <si>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</si>
  <si>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</si>
  <si>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</si>
  <si>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</si>
  <si>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</si>
  <si>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</si>
  <si>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</si>
  <si>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</si>
  <si>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</si>
  <si>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</si>
  <si>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</si>
  <si>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</si>
  <si>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</si>
  <si>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</si>
  <si>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</si>
  <si>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</si>
  <si>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</si>
  <si>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</si>
  <si>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</si>
  <si>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</si>
  <si>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</si>
  <si>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</si>
  <si>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</si>
  <si>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</si>
  <si>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</si>
  <si>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</si>
  <si>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</si>
  <si>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</si>
  <si>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</si>
  <si>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</si>
  <si>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</si>
  <si>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</si>
  <si>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</si>
  <si>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</si>
  <si>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</si>
  <si>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</si>
  <si>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</si>
  <si>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</si>
  <si>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</si>
  <si>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</si>
  <si>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</si>
  <si>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</si>
  <si>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</si>
  <si>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</si>
  <si>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</si>
  <si>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</si>
  <si>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</si>
  <si>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</si>
  <si>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</si>
  <si>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</si>
  <si>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</si>
  <si>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</si>
  <si>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</si>
  <si>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</si>
  <si>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</si>
  <si>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</si>
  <si>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</si>
  <si>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</si>
  <si>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</si>
  <si>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</si>
  <si>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</si>
  <si>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</si>
  <si>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</si>
  <si>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</si>
  <si>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</si>
  <si>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</si>
  <si>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</si>
  <si>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</si>
  <si>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</si>
  <si>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</si>
  <si>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</si>
  <si>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</si>
  <si>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</si>
  <si>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</si>
  <si>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</si>
  <si>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</si>
  <si>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</si>
  <si>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</si>
  <si>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</si>
  <si>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</si>
  <si>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</si>
  <si>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</si>
  <si>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</si>
  <si>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</si>
  <si>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</si>
  <si>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</si>
  <si>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</si>
  <si>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</si>
  <si>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</si>
  <si>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</si>
  <si>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</si>
  <si>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</si>
  <si>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</si>
  <si>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</si>
  <si>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</si>
  <si>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</si>
  <si>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</si>
  <si>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</si>
  <si>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</si>
  <si>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</si>
  <si>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</si>
  <si>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</si>
  <si>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</si>
  <si>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</si>
  <si>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</si>
  <si>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</si>
  <si>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</si>
  <si>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</si>
  <si>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</si>
  <si>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</si>
  <si>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</si>
  <si>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</si>
  <si>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</si>
  <si>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</si>
  <si>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</si>
  <si>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</si>
  <si>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</si>
  <si>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</si>
  <si>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</si>
  <si>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</si>
  <si>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</si>
  <si>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</si>
  <si>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</si>
  <si>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</si>
  <si>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</si>
  <si>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</si>
  <si>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</si>
  <si>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</si>
  <si>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</si>
  <si>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</si>
  <si>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</si>
  <si>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</si>
  <si>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</si>
  <si>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</si>
  <si>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</si>
  <si>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</si>
  <si>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</si>
  <si>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</si>
  <si>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</si>
  <si>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</si>
  <si>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</si>
  <si>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</si>
  <si>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</si>
  <si>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</si>
  <si>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</si>
  <si>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</si>
  <si>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</si>
  <si>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</si>
  <si>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</si>
  <si>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</si>
  <si>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</si>
  <si>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</si>
  <si>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</si>
  <si>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</si>
  <si>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</si>
  <si>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</si>
  <si>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</si>
  <si>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</si>
  <si>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</si>
  <si>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</si>
  <si>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</si>
  <si>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</si>
  <si>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</si>
  <si>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</si>
  <si>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</si>
  <si>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</si>
  <si>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</si>
  <si>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</si>
  <si>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</si>
  <si>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</si>
  <si>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</si>
  <si>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</si>
  <si>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</si>
  <si>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</si>
  <si>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</si>
  <si>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</si>
  <si>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</si>
  <si>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</si>
  <si>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</si>
  <si>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</si>
  <si>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</si>
  <si>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</si>
  <si>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</si>
  <si>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</si>
  <si>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</si>
  <si>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</si>
  <si>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</si>
  <si>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</si>
  <si>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</si>
  <si>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</si>
  <si>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</si>
  <si>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</si>
  <si>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</si>
  <si>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</si>
  <si>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</si>
  <si>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</si>
  <si>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</si>
  <si>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</si>
  <si>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</si>
  <si>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</si>
  <si>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</si>
  <si>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</si>
  <si>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</si>
  <si>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</si>
  <si>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</si>
  <si>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</si>
  <si>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</si>
  <si>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</si>
  <si>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</si>
  <si>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</si>
  <si>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</si>
  <si>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</si>
  <si>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</si>
  <si>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</si>
  <si>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</si>
  <si>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</si>
  <si>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</si>
  <si>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</si>
  <si>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</si>
  <si>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</si>
  <si>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</si>
  <si>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</si>
  <si>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</si>
  <si>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</si>
  <si>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</si>
  <si>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</si>
  <si>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</si>
  <si>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</si>
  <si>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</si>
  <si>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</si>
  <si>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</si>
  <si>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</si>
  <si>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</si>
  <si>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</si>
  <si>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</si>
  <si>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</si>
  <si>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</si>
  <si>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</si>
  <si>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</si>
  <si>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</si>
  <si>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</si>
  <si>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</si>
  <si>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</si>
  <si>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</si>
  <si>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</si>
  <si>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</si>
  <si>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</si>
  <si>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</si>
  <si>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</si>
  <si>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</si>
  <si>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</si>
  <si>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</si>
  <si>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</si>
  <si>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</si>
  <si>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</si>
  <si>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</si>
  <si>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</si>
  <si>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</si>
  <si>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</si>
  <si>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</si>
  <si>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</si>
  <si>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</si>
  <si>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</si>
  <si>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</si>
  <si>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</si>
  <si>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</si>
  <si>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</si>
  <si>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</si>
  <si>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</si>
  <si>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</si>
  <si>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</si>
  <si>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</si>
  <si>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</si>
  <si>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</si>
  <si>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</si>
  <si>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</si>
  <si>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</si>
  <si>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</si>
  <si>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</si>
  <si>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</si>
  <si>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</si>
  <si>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</si>
  <si>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</si>
  <si>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</si>
  <si>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</si>
  <si>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</si>
  <si>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</si>
  <si>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</si>
  <si>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</si>
  <si>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</si>
  <si>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</si>
  <si>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</si>
  <si>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</si>
  <si>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</si>
  <si>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</si>
  <si>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</si>
  <si>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</si>
  <si>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</si>
  <si>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</si>
  <si>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</si>
  <si>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</si>
  <si>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</si>
  <si>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</si>
  <si>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</si>
  <si>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Sale Amount</t>
  </si>
  <si>
    <t>Sales by Product</t>
  </si>
  <si>
    <t>Sales by Region</t>
  </si>
  <si>
    <t>Monthly Sales Trend</t>
  </si>
  <si>
    <t>Customer Segment Analysis</t>
  </si>
  <si>
    <t>Row Labels</t>
  </si>
  <si>
    <t>Sum of Total_Amount</t>
  </si>
  <si>
    <t>Grand Total</t>
  </si>
  <si>
    <t>KPI CARDS</t>
  </si>
  <si>
    <t>Total Sales</t>
  </si>
  <si>
    <t>Total Orders</t>
  </si>
  <si>
    <t>Average Sale</t>
  </si>
  <si>
    <t>Month Extract</t>
  </si>
  <si>
    <t>Year</t>
  </si>
  <si>
    <t>Customer Age</t>
  </si>
  <si>
    <t>Month End</t>
  </si>
  <si>
    <t>Timestamp</t>
  </si>
  <si>
    <t>Total Spend</t>
  </si>
  <si>
    <t>Goal seek Before</t>
  </si>
  <si>
    <t>Goal seek After</t>
  </si>
  <si>
    <t>QTY</t>
  </si>
  <si>
    <t>Scenario Manager Before</t>
  </si>
  <si>
    <t>Scenario Manager After</t>
  </si>
  <si>
    <t>Scenario Summary</t>
  </si>
  <si>
    <t>Current Values:</t>
  </si>
  <si>
    <t>High Value</t>
  </si>
  <si>
    <t>Low Value</t>
  </si>
  <si>
    <t>Medium</t>
  </si>
  <si>
    <t>Created by Priya on 22-03-2026
Modified by Priya on 22-03-2026</t>
  </si>
  <si>
    <t>Changing Cells:</t>
  </si>
  <si>
    <t>$H$15</t>
  </si>
  <si>
    <t>$H$16</t>
  </si>
  <si>
    <t>$H$17</t>
  </si>
  <si>
    <t>$H$18</t>
  </si>
  <si>
    <t>$H$19</t>
  </si>
  <si>
    <t>Result Cells:</t>
  </si>
  <si>
    <t>$L$3</t>
  </si>
  <si>
    <t>Notes:  Current Values column represents values of changing cells at</t>
  </si>
  <si>
    <t>time Scenario Summary Report was created.  Changing cells for each</t>
  </si>
  <si>
    <t>scenario are highlighted in gray.</t>
  </si>
  <si>
    <t>Most Purchased product</t>
  </si>
  <si>
    <t>Customer Frequency</t>
  </si>
  <si>
    <t>DATA STORYTELLING</t>
  </si>
  <si>
    <t>1. Sales Overview</t>
  </si>
  <si>
    <t>The dashboard provides an overview of total sales, total orders and average sales.</t>
  </si>
  <si>
    <t>2. Regional Performance</t>
  </si>
  <si>
    <t>Regional sales are compared to identify the best-performing region and areas that need improvement.</t>
  </si>
  <si>
    <t>3. Product Performance</t>
  </si>
  <si>
    <t>Product-wise analysis helps identify the most popular products and products with lower sales.</t>
  </si>
  <si>
    <t>4. Customer Analysis</t>
  </si>
  <si>
    <t>Customer spending is analysed to identify high-value customers and repeating customers.</t>
  </si>
  <si>
    <t>5. Business Recommendation</t>
  </si>
  <si>
    <t>The business should focus on high-performing regions, popular products and valuable customers to improve sales and customer retention.</t>
  </si>
  <si>
    <t>FINAL REPORT</t>
  </si>
  <si>
    <t>Project Title</t>
  </si>
  <si>
    <t>Sales Data Analysis</t>
  </si>
  <si>
    <t>Prepared By</t>
  </si>
  <si>
    <t>Objective</t>
  </si>
  <si>
    <t>To analyze sales data and identify useful business insights.</t>
  </si>
  <si>
    <t>Tools Used</t>
  </si>
  <si>
    <t>Microsoft Excel</t>
  </si>
  <si>
    <t>Dataset</t>
  </si>
  <si>
    <t>Raw sales transaction data</t>
  </si>
  <si>
    <t>Key Analysis</t>
  </si>
  <si>
    <t>Total Sales, Average Sales, Highest Sale, Regional and Product Performance</t>
  </si>
  <si>
    <t>Conclusion</t>
  </si>
  <si>
    <t>The report summarizes sales performance and helps identify trends and high-performing segments.</t>
  </si>
  <si>
    <t>Metric</t>
  </si>
  <si>
    <t>Value</t>
  </si>
  <si>
    <t>Average Sales</t>
  </si>
  <si>
    <t>Highest Sale</t>
  </si>
  <si>
    <t>Simran Gohel</t>
  </si>
  <si>
    <t>Name</t>
  </si>
  <si>
    <t>Rahul</t>
  </si>
  <si>
    <t>Priya</t>
  </si>
  <si>
    <t>Amit</t>
  </si>
  <si>
    <t>Neha</t>
  </si>
  <si>
    <t>Rohan</t>
  </si>
  <si>
    <t>Sneha</t>
  </si>
  <si>
    <t>Vikas</t>
  </si>
  <si>
    <t>Pooja</t>
  </si>
  <si>
    <t>Karan</t>
  </si>
  <si>
    <t>Anjali</t>
  </si>
  <si>
    <t>Meena</t>
  </si>
  <si>
    <t>Arjun</t>
  </si>
  <si>
    <t>Simran</t>
  </si>
  <si>
    <t>common names</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</si>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</sst>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8">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sz val="12"/>
      <color theme="1"/>
      <name val="Aptos Narrow"/>
      <family val="2"/>
      <scheme val="minor"/>
    </font>
    <font>
      <sz val="11"/>
      <color theme="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b/>
      <sz val="11"/>
      <color rgb="FF000000"/>
      <name val="Calibri"/>
    </font>
    <font>
      <sz val="11"/>
      <color rgb="FF000000"/>
      <name val="Calibri"/>
    </font>
    <font>
      <b/>
      <sz val="14"/>
      <color rgb="FF000000"/>
      <name val="Aptos Narrow"/>
    </font>
    <font>
      <i/>
      <sz val="12"/>
      <color rgb="FF000000"/>
      <name val="Aptos Narrow"/>
    </font>
    <font>
      <sz val="11"/>
      <color rgb="FF000000"/>
      <name val="Aptos Narrow"/>
    </font>
    <font>
      <i/>
      <sz val="11"/>
      <color rgb="FF000000"/>
      <name val="Aptos Narrow"/>
    </font>
    <font>
      <b/>
      <sz val="12"/>
      <color rgb="FF000000"/>
      <name val="Aptos Narrow"/>
    </font>
    <font>
      <b/>
      <sz val="11"/>
      <color rgb="FF000000"/>
      <name val="Aptos Narrow"/>
    </font>
    <font>
      <b/>
      <sz val="14"/>
      <color rgb="FF000000"/>
      <name val="Calibri"/>
    </font>
    <font>
      <sz val="10"/>
      <color rgb="FF000000"/>
      <name val="Aptos Narrow"/>
    </font>
    <font>
      <b/>
      <sz val="8"/>
      <color rgb="FF000000"/>
      <name val="Aptos Narrow"/>
    </font>
    <font>
      <b/>
      <sz val="12"/>
      <name val="Aptos Narrow"/>
      <family val="2"/>
      <scheme val="minor"/>
    </font>
    <font>
      <sz val="14"/>
      <color theme="1"/>
      <name val="Aptos Narrow"/>
      <scheme val="minor"/>
    </font>
    <font>
      <sz val="16"/>
      <color theme="1"/>
      <name val="Aptos Narrow"/>
      <family val="2"/>
      <scheme val="minor"/>
    </font>
    <font>
      <b/>
      <sz val="11"/>
      <color theme="1"/>
      <name val="Aptos Narrow"/>
      <scheme val="minor"/>
    </font>
    <font>
      <b/>
      <i/>
      <sz val="14"/>
      <color theme="1"/>
      <name val="Aptos Narrow"/>
      <scheme val="minor"/>
    </font>
    <font>
      <b/>
      <sz val="14"/>
      <color rgb="FFFFFFFF"/>
      <name val="Calibri"/>
      <family val="2"/>
    </font>
    <font>
      <b/>
      <sz val="11"/>
      <name val="Calibri"/>
      <family val="2"/>
    </font>
    <font>
      <sz val="11"/>
      <color theme="1"/>
      <name val="Aptos Display"/>
      <scheme val="major"/>
    </font>
    <font>
      <b/>
      <sz val="11"/>
      <color theme="2" tint="-0.89999084444715716"/>
      <name val="Aptos Narrow"/>
      <family val="2"/>
      <scheme val="minor"/>
    </font>
    <font>
      <sz val="11"/>
      <color theme="1"/>
      <name val="Aptos Narrow"/>
      <family val="2"/>
      <scheme val="minor"/>
    </font>
    <font>
      <b/>
      <sz val="12"/>
      <color rgb="FF000000"/>
      <name val="Calibri"/>
      <family val="2"/>
    </font>
    <font>
      <sz val="12"/>
      <color rgb="FF000000"/>
      <name val="Calibri"/>
      <family val="2"/>
    </font>
    <font>
      <b/>
      <sz val="12"/>
      <color theme="1"/>
      <name val="Aptos Narrow"/>
    </font>
    <font>
      <sz val="11"/>
      <color theme="1"/>
      <name val="Aptos Narrow"/>
      <scheme val="minor"/>
    </font>
    <font>
      <sz val="11"/>
      <color theme="1"/>
      <name val="Aptos Narrow"/>
    </font>
    <font>
      <sz val="16"/>
      <color rgb="FF000000"/>
      <name val="Aptos Narrow"/>
    </font>
  </fonts>
  <fills count="15">
    <fill>
      <patternFill patternType="none"/>
    </fill>
    <fill>
      <patternFill patternType="gray125"/>
    </fill>
    <fill>
      <patternFill patternType="solid">
        <fgColor indexed="22"/>
        <bgColor indexed="2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59999389629810485"/>
        <bgColor indexed="24"/>
      </patternFill>
    </fill>
    <fill>
      <patternFill patternType="solid">
        <fgColor theme="8" tint="0.39997558519241921"/>
        <bgColor indexed="24"/>
      </patternFill>
    </fill>
    <fill>
      <patternFill patternType="solid">
        <fgColor theme="8" tint="0.79998168889431442"/>
        <bgColor indexed="24"/>
      </patternFill>
    </fill>
    <fill>
      <patternFill patternType="solid">
        <fgColor theme="8"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499984740745262"/>
        <bgColor indexed="64"/>
      </patternFill>
    </fill>
    <fill>
      <patternFill patternType="solid">
        <fgColor theme="7" tint="0.79998168889431442"/>
        <bgColor indexed="65"/>
      </patternFill>
    </fill>
  </fills>
  <borders count="21">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CCCCCC"/>
      </left>
      <right style="medium">
        <color rgb="FFCCCCCC"/>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top/>
      <bottom style="thin">
        <color rgb="FFB7C9D6"/>
      </bottom>
      <diagonal/>
    </border>
    <border>
      <left style="thin">
        <color rgb="FFD9D9D9"/>
      </left>
      <right/>
      <top style="thin">
        <color rgb="FFD9D9D9"/>
      </top>
      <bottom style="thin">
        <color rgb="FFD9D9D9"/>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rgb="FFD9D9D9"/>
      </left>
      <right/>
      <top/>
      <bottom/>
      <diagonal/>
    </border>
  </borders>
  <cellStyleXfs count="2">
    <xf numFmtId="0" fontId="0" fillId="0" borderId="0"/>
    <xf numFmtId="0" fontId="31" fillId="14" borderId="0" applyNumberFormat="0" applyBorder="0" applyAlignment="0" applyProtection="0"/>
  </cellStyleXfs>
  <cellXfs count="118">
    <xf numFmtId="0" fontId="0" fillId="0" borderId="0" xfId="0"/>
    <xf numFmtId="0" fontId="3" fillId="0" borderId="1" xfId="0" applyFont="1" applyBorder="1" applyAlignment="1">
      <alignment horizontal="right" wrapText="1"/>
    </xf>
    <xf numFmtId="0" fontId="3" fillId="0" borderId="1" xfId="0" applyFont="1" applyBorder="1" applyAlignment="1">
      <alignment horizontal="center" wrapText="1"/>
    </xf>
    <xf numFmtId="0" fontId="0" fillId="0" borderId="0" xfId="0" applyAlignment="1">
      <alignment horizontal="center"/>
    </xf>
    <xf numFmtId="164" fontId="0" fillId="0" borderId="0" xfId="0" applyNumberFormat="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0" fontId="5" fillId="0" borderId="0" xfId="0" applyFont="1"/>
    <xf numFmtId="0" fontId="1" fillId="0" borderId="0" xfId="0" applyFont="1"/>
    <xf numFmtId="0" fontId="3" fillId="0" borderId="7" xfId="0" applyFont="1" applyBorder="1" applyAlignment="1">
      <alignment horizontal="right" wrapText="1"/>
    </xf>
    <xf numFmtId="0" fontId="3" fillId="0" borderId="7" xfId="0" applyFont="1" applyBorder="1" applyAlignment="1">
      <alignment horizontal="center" wrapText="1"/>
    </xf>
    <xf numFmtId="0" fontId="3" fillId="0" borderId="8" xfId="0" applyFont="1" applyBorder="1" applyAlignment="1">
      <alignment horizontal="right"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2" fillId="0" borderId="7" xfId="0" applyFont="1" applyBorder="1" applyAlignment="1">
      <alignment wrapText="1"/>
    </xf>
    <xf numFmtId="0" fontId="2" fillId="0" borderId="7" xfId="0" applyFont="1" applyBorder="1" applyAlignment="1">
      <alignment horizontal="center" vertical="center" wrapText="1"/>
    </xf>
    <xf numFmtId="0" fontId="3" fillId="0" borderId="10" xfId="0" applyFont="1" applyBorder="1" applyAlignment="1">
      <alignment horizontal="right" wrapText="1"/>
    </xf>
    <xf numFmtId="0" fontId="3" fillId="0" borderId="10" xfId="0" applyFont="1" applyBorder="1" applyAlignment="1">
      <alignment horizontal="center" wrapText="1"/>
    </xf>
    <xf numFmtId="0" fontId="0" fillId="0" borderId="2" xfId="0" applyBorder="1"/>
    <xf numFmtId="0" fontId="0" fillId="0" borderId="4" xfId="0" applyBorder="1"/>
    <xf numFmtId="0" fontId="8" fillId="2" borderId="0" xfId="0" applyFont="1" applyFill="1" applyAlignment="1">
      <alignment horizontal="left"/>
    </xf>
    <xf numFmtId="0" fontId="9" fillId="2" borderId="4" xfId="0" applyFont="1" applyFill="1" applyBorder="1" applyAlignment="1">
      <alignment horizontal="left"/>
    </xf>
    <xf numFmtId="0" fontId="8" fillId="2" borderId="2" xfId="0" applyFont="1" applyFill="1" applyBorder="1" applyAlignment="1">
      <alignment horizontal="left"/>
    </xf>
    <xf numFmtId="0" fontId="4" fillId="3" borderId="3" xfId="0" applyFont="1" applyFill="1" applyBorder="1" applyAlignment="1">
      <alignment horizontal="centerContinuous"/>
    </xf>
    <xf numFmtId="0" fontId="15" fillId="0" borderId="11" xfId="0" applyFont="1" applyBorder="1" applyAlignment="1">
      <alignment horizontal="center"/>
    </xf>
    <xf numFmtId="0" fontId="15" fillId="0" borderId="11" xfId="0" applyFont="1" applyBorder="1"/>
    <xf numFmtId="164" fontId="15" fillId="0" borderId="11" xfId="0" applyNumberFormat="1" applyFont="1" applyBorder="1" applyAlignment="1">
      <alignment horizontal="center"/>
    </xf>
    <xf numFmtId="0" fontId="18" fillId="0" borderId="11" xfId="0" applyFont="1" applyBorder="1" applyAlignment="1">
      <alignment horizontal="center"/>
    </xf>
    <xf numFmtId="0" fontId="11" fillId="0" borderId="11" xfId="0" applyFont="1" applyBorder="1" applyAlignment="1">
      <alignment horizontal="center" vertical="center" wrapText="1"/>
    </xf>
    <xf numFmtId="164" fontId="11" fillId="0" borderId="11" xfId="0" applyNumberFormat="1" applyFont="1" applyBorder="1" applyAlignment="1">
      <alignment horizontal="center" vertical="center" wrapText="1"/>
    </xf>
    <xf numFmtId="0" fontId="18" fillId="0" borderId="11" xfId="0" applyFont="1" applyBorder="1" applyAlignment="1">
      <alignment horizontal="center" vertical="center"/>
    </xf>
    <xf numFmtId="0" fontId="12" fillId="0" borderId="11" xfId="0" applyFont="1" applyBorder="1" applyAlignment="1">
      <alignment horizontal="center" wrapText="1"/>
    </xf>
    <xf numFmtId="0" fontId="15" fillId="0" borderId="11" xfId="0" applyFont="1" applyBorder="1" applyAlignment="1">
      <alignment horizontal="center" vertical="center"/>
    </xf>
    <xf numFmtId="0" fontId="18" fillId="0" borderId="11" xfId="0" applyFont="1" applyBorder="1" applyAlignment="1">
      <alignment horizontal="left"/>
    </xf>
    <xf numFmtId="0" fontId="18" fillId="0" borderId="11" xfId="0" applyFont="1" applyBorder="1"/>
    <xf numFmtId="0" fontId="15" fillId="0" borderId="3" xfId="0" applyFont="1" applyBorder="1" applyAlignment="1">
      <alignment horizontal="center"/>
    </xf>
    <xf numFmtId="0" fontId="14" fillId="3" borderId="3" xfId="0" applyFont="1" applyFill="1" applyBorder="1" applyAlignment="1">
      <alignment horizontal="centerContinuous"/>
    </xf>
    <xf numFmtId="0" fontId="16" fillId="0" borderId="3" xfId="0" applyFont="1" applyBorder="1" applyAlignment="1">
      <alignment horizontal="center"/>
    </xf>
    <xf numFmtId="0" fontId="0" fillId="0" borderId="3" xfId="0" applyFill="1" applyBorder="1" applyAlignment="1">
      <alignment horizontal="center"/>
    </xf>
    <xf numFmtId="0" fontId="4" fillId="0" borderId="3" xfId="0" applyFont="1" applyFill="1" applyBorder="1" applyAlignment="1">
      <alignment horizontal="center"/>
    </xf>
    <xf numFmtId="0" fontId="18" fillId="0" borderId="3" xfId="0" applyFont="1" applyBorder="1" applyAlignment="1">
      <alignment horizontal="center"/>
    </xf>
    <xf numFmtId="0" fontId="12" fillId="0" borderId="3" xfId="0" applyFont="1" applyBorder="1" applyAlignment="1">
      <alignment horizontal="center" wrapText="1"/>
    </xf>
    <xf numFmtId="0" fontId="12" fillId="0" borderId="3" xfId="0" applyFont="1" applyBorder="1" applyAlignment="1">
      <alignment horizontal="right" wrapText="1"/>
    </xf>
    <xf numFmtId="0" fontId="15" fillId="0" borderId="3" xfId="0" applyFont="1" applyBorder="1"/>
    <xf numFmtId="0" fontId="21" fillId="0" borderId="12" xfId="0" applyFont="1" applyBorder="1" applyAlignment="1">
      <alignment vertical="top" wrapText="1"/>
    </xf>
    <xf numFmtId="0" fontId="17" fillId="3" borderId="3" xfId="0" applyFont="1" applyFill="1" applyBorder="1" applyAlignment="1">
      <alignment horizontal="left"/>
    </xf>
    <xf numFmtId="0" fontId="7" fillId="7" borderId="3" xfId="0" applyFont="1" applyFill="1" applyBorder="1" applyAlignment="1">
      <alignment horizontal="left"/>
    </xf>
    <xf numFmtId="0" fontId="10" fillId="7" borderId="3" xfId="0" applyFont="1" applyFill="1" applyBorder="1" applyAlignment="1">
      <alignment horizontal="right"/>
    </xf>
    <xf numFmtId="0" fontId="10" fillId="0" borderId="3" xfId="0" applyFont="1" applyFill="1" applyBorder="1" applyAlignment="1">
      <alignment horizontal="right"/>
    </xf>
    <xf numFmtId="0" fontId="22" fillId="6" borderId="3" xfId="0" applyFont="1" applyFill="1" applyBorder="1" applyAlignment="1">
      <alignment horizontal="left"/>
    </xf>
    <xf numFmtId="0" fontId="7" fillId="8" borderId="3" xfId="0" applyFont="1" applyFill="1" applyBorder="1" applyAlignment="1">
      <alignment horizontal="left"/>
    </xf>
    <xf numFmtId="0" fontId="20" fillId="9" borderId="3" xfId="0" applyFont="1" applyFill="1" applyBorder="1" applyAlignment="1">
      <alignment horizontal="right"/>
    </xf>
    <xf numFmtId="0" fontId="12" fillId="0" borderId="11" xfId="0" applyFont="1" applyBorder="1" applyAlignment="1">
      <alignment horizontal="center" vertical="center" wrapText="1"/>
    </xf>
    <xf numFmtId="14" fontId="12" fillId="0" borderId="11" xfId="0" applyNumberFormat="1" applyFont="1" applyBorder="1" applyAlignment="1">
      <alignment horizontal="center" vertical="center" wrapText="1"/>
    </xf>
    <xf numFmtId="164" fontId="12" fillId="0" borderId="11" xfId="0" applyNumberFormat="1" applyFont="1" applyBorder="1" applyAlignment="1">
      <alignment horizontal="center" vertical="center" wrapText="1"/>
    </xf>
    <xf numFmtId="22" fontId="15" fillId="0" borderId="11" xfId="0" applyNumberFormat="1" applyFont="1" applyBorder="1" applyAlignment="1">
      <alignment horizontal="center" vertical="center"/>
    </xf>
    <xf numFmtId="0" fontId="0" fillId="0" borderId="0" xfId="0" applyAlignment="1"/>
    <xf numFmtId="0" fontId="4" fillId="0" borderId="3" xfId="0" applyFont="1" applyFill="1" applyBorder="1" applyAlignment="1"/>
    <xf numFmtId="0" fontId="16" fillId="0" borderId="11" xfId="0" applyFont="1" applyBorder="1" applyAlignment="1"/>
    <xf numFmtId="0" fontId="15" fillId="0" borderId="11" xfId="0" applyFont="1" applyBorder="1" applyAlignment="1"/>
    <xf numFmtId="0" fontId="0" fillId="0" borderId="4" xfId="0" applyBorder="1" applyAlignment="1">
      <alignment vertical="center"/>
    </xf>
    <xf numFmtId="0" fontId="15" fillId="0" borderId="3" xfId="0" applyFont="1" applyFill="1" applyBorder="1" applyAlignment="1">
      <alignment horizontal="center"/>
    </xf>
    <xf numFmtId="164" fontId="15" fillId="0" borderId="3" xfId="0" applyNumberFormat="1" applyFont="1" applyBorder="1" applyAlignment="1">
      <alignment horizontal="center"/>
    </xf>
    <xf numFmtId="0" fontId="0" fillId="0" borderId="3" xfId="0" applyNumberFormat="1" applyBorder="1" applyAlignment="1">
      <alignment horizontal="center"/>
    </xf>
    <xf numFmtId="0" fontId="0" fillId="5" borderId="3" xfId="0" applyFill="1" applyBorder="1" applyAlignment="1">
      <alignment horizontal="center"/>
    </xf>
    <xf numFmtId="0" fontId="6" fillId="10" borderId="0" xfId="0" applyFont="1" applyFill="1" applyBorder="1"/>
    <xf numFmtId="0" fontId="0" fillId="0" borderId="0" xfId="0" applyBorder="1"/>
    <xf numFmtId="0" fontId="0" fillId="0" borderId="0" xfId="0" applyAlignment="1">
      <alignment horizontal="center" vertical="center"/>
    </xf>
    <xf numFmtId="0" fontId="24" fillId="0" borderId="0" xfId="0" applyFont="1"/>
    <xf numFmtId="0" fontId="25" fillId="0" borderId="0" xfId="0" applyFont="1"/>
    <xf numFmtId="0" fontId="0" fillId="0" borderId="13" xfId="0" applyBorder="1" applyAlignment="1">
      <alignment vertical="top"/>
    </xf>
    <xf numFmtId="0" fontId="28" fillId="12" borderId="13" xfId="0" applyFont="1" applyFill="1" applyBorder="1" applyAlignment="1">
      <alignment vertical="top"/>
    </xf>
    <xf numFmtId="0" fontId="27" fillId="13" borderId="13" xfId="0" applyFont="1" applyFill="1" applyBorder="1" applyAlignment="1">
      <alignment vertical="top"/>
    </xf>
    <xf numFmtId="0" fontId="15" fillId="0" borderId="14" xfId="0" applyFont="1"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0" fontId="29" fillId="0" borderId="13" xfId="0" applyFont="1" applyBorder="1" applyAlignment="1">
      <alignment vertical="top"/>
    </xf>
    <xf numFmtId="0" fontId="30" fillId="0" borderId="15" xfId="0" applyFont="1" applyBorder="1" applyAlignment="1">
      <alignment horizontal="center" vertical="center"/>
    </xf>
    <xf numFmtId="0" fontId="30" fillId="0" borderId="6" xfId="0" applyFont="1" applyBorder="1" applyAlignment="1">
      <alignment horizontal="center"/>
    </xf>
    <xf numFmtId="0" fontId="0" fillId="9" borderId="3" xfId="0" applyFill="1" applyBorder="1" applyAlignment="1">
      <alignment horizontal="center"/>
    </xf>
    <xf numFmtId="0" fontId="31" fillId="14" borderId="3" xfId="1" applyBorder="1" applyAlignment="1">
      <alignment horizontal="center" vertical="center"/>
    </xf>
    <xf numFmtId="0" fontId="32" fillId="0" borderId="11" xfId="0" applyFont="1" applyBorder="1" applyAlignment="1">
      <alignment wrapText="1"/>
    </xf>
    <xf numFmtId="0" fontId="33" fillId="0" borderId="11" xfId="0" applyFont="1" applyBorder="1" applyAlignment="1">
      <alignment wrapText="1"/>
    </xf>
    <xf numFmtId="14" fontId="33" fillId="0" borderId="11" xfId="0" applyNumberFormat="1" applyFont="1" applyBorder="1" applyAlignment="1">
      <alignment horizontal="right" wrapText="1"/>
    </xf>
    <xf numFmtId="0" fontId="33" fillId="0" borderId="11" xfId="0" applyFont="1" applyBorder="1" applyAlignment="1">
      <alignment horizontal="right" wrapText="1"/>
    </xf>
    <xf numFmtId="0" fontId="0" fillId="0" borderId="6" xfId="0" applyNumberFormat="1" applyBorder="1" applyAlignment="1">
      <alignment horizontal="center"/>
    </xf>
    <xf numFmtId="0" fontId="0" fillId="0" borderId="6" xfId="0" applyBorder="1" applyAlignment="1">
      <alignment horizontal="center"/>
    </xf>
    <xf numFmtId="0" fontId="0" fillId="0" borderId="15" xfId="0" applyNumberFormat="1" applyBorder="1" applyAlignment="1">
      <alignment horizontal="center"/>
    </xf>
    <xf numFmtId="0" fontId="0" fillId="0" borderId="15" xfId="0" applyBorder="1" applyAlignment="1">
      <alignment horizontal="center"/>
    </xf>
    <xf numFmtId="0" fontId="15" fillId="3" borderId="11" xfId="0" applyFont="1" applyFill="1" applyBorder="1" applyAlignment="1">
      <alignment horizontal="center"/>
    </xf>
    <xf numFmtId="0" fontId="36" fillId="3" borderId="12" xfId="0" applyFont="1" applyFill="1" applyBorder="1" applyAlignment="1">
      <alignment horizontal="center"/>
    </xf>
    <xf numFmtId="0" fontId="0" fillId="0" borderId="17" xfId="0" applyBorder="1"/>
    <xf numFmtId="0" fontId="36" fillId="3" borderId="14" xfId="0" applyFont="1" applyFill="1" applyBorder="1" applyAlignment="1">
      <alignment horizontal="center"/>
    </xf>
    <xf numFmtId="164" fontId="15" fillId="0" borderId="14" xfId="0" applyNumberFormat="1" applyFont="1" applyBorder="1" applyAlignment="1">
      <alignment horizontal="center"/>
    </xf>
    <xf numFmtId="0" fontId="15" fillId="0" borderId="18" xfId="0" applyFont="1" applyBorder="1" applyAlignment="1">
      <alignment horizontal="center"/>
    </xf>
    <xf numFmtId="0" fontId="0" fillId="0" borderId="16" xfId="0" applyNumberFormat="1" applyBorder="1" applyAlignment="1">
      <alignment horizontal="center"/>
    </xf>
    <xf numFmtId="0" fontId="0" fillId="0" borderId="20" xfId="0" applyBorder="1"/>
    <xf numFmtId="0" fontId="19" fillId="5" borderId="3" xfId="0" applyFont="1" applyFill="1" applyBorder="1" applyAlignment="1">
      <alignment horizontal="center" wrapText="1"/>
    </xf>
    <xf numFmtId="0" fontId="0" fillId="5" borderId="3" xfId="0" applyFill="1" applyBorder="1"/>
    <xf numFmtId="0" fontId="13" fillId="5" borderId="3" xfId="0" applyFont="1" applyFill="1" applyBorder="1" applyAlignment="1">
      <alignment horizontal="center"/>
    </xf>
    <xf numFmtId="0" fontId="13" fillId="4" borderId="11" xfId="0" applyFont="1" applyFill="1" applyBorder="1" applyAlignment="1">
      <alignment horizontal="center"/>
    </xf>
    <xf numFmtId="0" fontId="0" fillId="4" borderId="4" xfId="0" applyFill="1" applyBorder="1" applyAlignment="1"/>
    <xf numFmtId="0" fontId="0" fillId="4" borderId="5" xfId="0" applyFill="1" applyBorder="1" applyAlignment="1"/>
    <xf numFmtId="0" fontId="13" fillId="3" borderId="3" xfId="0" applyFont="1" applyFill="1" applyBorder="1" applyAlignment="1">
      <alignment horizontal="center"/>
    </xf>
    <xf numFmtId="0" fontId="0" fillId="3" borderId="3" xfId="0" applyFill="1" applyBorder="1" applyAlignment="1"/>
    <xf numFmtId="0" fontId="17" fillId="5" borderId="19" xfId="0" applyFont="1" applyFill="1" applyBorder="1" applyAlignment="1">
      <alignment horizontal="center"/>
    </xf>
    <xf numFmtId="0" fontId="23" fillId="3" borderId="3" xfId="0" applyFont="1" applyFill="1" applyBorder="1"/>
    <xf numFmtId="0" fontId="18" fillId="3" borderId="3" xfId="0" applyFont="1" applyFill="1" applyBorder="1" applyAlignment="1">
      <alignment horizontal="center"/>
    </xf>
    <xf numFmtId="0" fontId="0" fillId="3" borderId="3" xfId="0" applyFill="1" applyBorder="1"/>
    <xf numFmtId="0" fontId="17" fillId="3" borderId="3" xfId="0" applyFont="1" applyFill="1" applyBorder="1" applyAlignment="1">
      <alignment horizontal="center"/>
    </xf>
    <xf numFmtId="0" fontId="34" fillId="5" borderId="3" xfId="0" applyFont="1" applyFill="1" applyBorder="1" applyAlignment="1">
      <alignment horizontal="center"/>
    </xf>
    <xf numFmtId="0" fontId="35" fillId="5" borderId="3" xfId="0" applyFont="1" applyFill="1" applyBorder="1"/>
    <xf numFmtId="0" fontId="26" fillId="11" borderId="3" xfId="0" applyFont="1" applyFill="1" applyBorder="1" applyAlignment="1">
      <alignment horizontal="center" vertical="center"/>
    </xf>
    <xf numFmtId="0" fontId="27" fillId="13" borderId="13" xfId="0" applyFont="1" applyFill="1" applyBorder="1" applyAlignment="1">
      <alignment horizontal="center"/>
    </xf>
    <xf numFmtId="0" fontId="0" fillId="13" borderId="13" xfId="0" applyFill="1" applyBorder="1" applyAlignment="1"/>
    <xf numFmtId="0" fontId="37" fillId="5" borderId="3" xfId="0" applyFont="1" applyFill="1" applyBorder="1" applyAlignment="1">
      <alignment horizontal="center"/>
    </xf>
    <xf numFmtId="0" fontId="37" fillId="0" borderId="3" xfId="0" applyFont="1" applyBorder="1" applyAlignment="1">
      <alignment horizontal="center"/>
    </xf>
    <xf numFmtId="164" fontId="37" fillId="0" borderId="3" xfId="0" applyNumberFormat="1" applyFont="1" applyBorder="1" applyAlignment="1">
      <alignment horizontal="center"/>
    </xf>
  </cellXfs>
  <cellStyles count="2">
    <cellStyle name="20% - Accent4" xfId="1" builtinId="42"/>
    <cellStyle name="Normal" xfId="0" builtinId="0"/>
  </cellStyles>
  <dxfs count="121">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vertical/>
        <horizontal/>
      </border>
    </dxf>
    <dxf>
      <border>
        <left/>
        <right/>
        <top/>
        <vertical/>
        <horizontal/>
      </border>
    </dxf>
    <dxf>
      <border>
        <left/>
        <right/>
        <top/>
        <vertical/>
        <horizontal/>
      </border>
    </dxf>
    <dxf>
      <border>
        <left/>
        <right/>
        <top/>
        <vertical/>
        <horizontal/>
      </border>
    </dxf>
    <dxf>
      <fill>
        <patternFill>
          <bgColor theme="8" tint="0.59999389629810485"/>
        </patternFill>
      </fill>
    </dxf>
    <dxf>
      <fill>
        <patternFill>
          <bgColor theme="8" tint="0.59999389629810485"/>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bgColor theme="8" tint="0.59999389629810485"/>
        </patternFill>
      </fill>
    </dxf>
    <dxf>
      <fill>
        <patternFill>
          <bgColor theme="8" tint="0.59999389629810485"/>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bgColor theme="8" tint="0.59999389629810485"/>
        </patternFill>
      </fill>
    </dxf>
    <dxf>
      <fill>
        <patternFill>
          <bgColor theme="8" tint="0.59999389629810485"/>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color theme="1"/>
      </font>
    </dxf>
    <dxf>
      <font>
        <color theme="1"/>
      </font>
    </dxf>
    <dxf>
      <fill>
        <patternFill patternType="solid">
          <bgColor theme="8" tint="0.39997558519241921"/>
        </patternFill>
      </fill>
    </dxf>
    <dxf>
      <fill>
        <patternFill patternType="solid">
          <bgColor theme="8" tint="0.39997558519241921"/>
        </patternFill>
      </fill>
    </dxf>
    <dxf>
      <font>
        <color theme="8" tint="0.79998168889431442"/>
      </font>
    </dxf>
    <dxf>
      <font>
        <color theme="8" tint="0.7999816888943144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border outline="0">
        <left style="thin">
          <color indexed="64"/>
        </left>
        <right/>
        <top style="thin">
          <color indexed="64"/>
        </top>
        <bottom style="thin">
          <color indexed="64"/>
        </bottom>
      </border>
    </dxf>
    <dxf>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numFmt numFmtId="27" formatCode="dd/mm/yyyy\ hh:mm"/>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numFmt numFmtId="164" formatCode="&quot;₹&quot;\ #,##0.00"/>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numFmt numFmtId="19" formatCode="dd/mm/yyyy"/>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numFmt numFmtId="19" formatCode="dd/mm/yyyy"/>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center" vertical="center" textRotation="0" wrapText="1" indent="0" justifyLastLine="0" shrinkToFit="0" readingOrder="0"/>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outline="0">
        <bottom style="thin">
          <color indexed="64"/>
        </bottom>
      </border>
    </dxf>
    <dxf>
      <font>
        <b/>
        <strike val="0"/>
        <condense val="0"/>
        <extend val="0"/>
        <outline val="0"/>
        <shadow val="0"/>
        <vertAlign val="baseline"/>
        <sz val="11"/>
        <color theme="1"/>
        <name val="Aptos Narrow"/>
        <family val="2"/>
        <scheme val="minor"/>
      </font>
      <alignment horizontal="center" vertical="center" textRotation="0" indent="0" justifyLastLine="0" shrinkToFit="0" readingOrder="0"/>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MONTHY SALES TREND</a:t>
            </a:r>
          </a:p>
        </c:rich>
      </c:tx>
      <c:layout>
        <c:manualLayout>
          <c:xMode val="edge"/>
          <c:yMode val="edge"/>
          <c:x val="0.37542235501244337"/>
          <c:y val="0.10305287625942648"/>
        </c:manualLayout>
      </c:layout>
      <c:overlay val="0"/>
      <c:spPr>
        <a:noFill/>
        <a:ln>
          <a:noFill/>
        </a:ln>
        <a:effectLst/>
      </c:sp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23110789504538218"/>
          <c:y val="0.31800372841607644"/>
          <c:w val="0.64392760031884921"/>
          <c:h val="0.51624619351246825"/>
        </c:manualLayout>
      </c:layout>
      <c:lineChart>
        <c:grouping val="stacked"/>
        <c:varyColors val="0"/>
        <c:ser>
          <c:idx val="0"/>
          <c:order val="0"/>
          <c:tx>
            <c:strRef>
              <c:f>'Pivot table'!$E$19</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table'!$D$20:$D$33</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table'!$E$20:$E$33</c:f>
              <c:numCache>
                <c:formatCode>"₹"\ #,##0.00</c:formatCode>
                <c:ptCount val="13"/>
                <c:pt idx="0">
                  <c:v>20919.330000000002</c:v>
                </c:pt>
                <c:pt idx="1">
                  <c:v>17039.349999999999</c:v>
                </c:pt>
                <c:pt idx="2">
                  <c:v>19299.45</c:v>
                </c:pt>
                <c:pt idx="3">
                  <c:v>18479.399999999991</c:v>
                </c:pt>
                <c:pt idx="4">
                  <c:v>15759.43</c:v>
                </c:pt>
                <c:pt idx="5">
                  <c:v>12989.51</c:v>
                </c:pt>
                <c:pt idx="6">
                  <c:v>20609.52</c:v>
                </c:pt>
                <c:pt idx="7">
                  <c:v>12309.44</c:v>
                </c:pt>
                <c:pt idx="8">
                  <c:v>23039.3</c:v>
                </c:pt>
                <c:pt idx="9">
                  <c:v>25799.15</c:v>
                </c:pt>
                <c:pt idx="10">
                  <c:v>16069.38</c:v>
                </c:pt>
                <c:pt idx="11">
                  <c:v>19899.38</c:v>
                </c:pt>
                <c:pt idx="12">
                  <c:v>6979.829999999999</c:v>
                </c:pt>
              </c:numCache>
            </c:numRef>
          </c:val>
          <c:smooth val="0"/>
          <c:extLst>
            <c:ext xmlns:c16="http://schemas.microsoft.com/office/drawing/2014/chart" uri="{C3380CC4-5D6E-409C-BE32-E72D297353CC}">
              <c16:uniqueId val="{00000002-7A73-423D-A7B8-7F51E0BBA739}"/>
            </c:ext>
          </c:extLst>
        </c:ser>
        <c:dLbls>
          <c:showLegendKey val="0"/>
          <c:showVal val="0"/>
          <c:showCatName val="0"/>
          <c:showSerName val="0"/>
          <c:showPercent val="0"/>
          <c:showBubbleSize val="0"/>
        </c:dLbls>
        <c:marker val="1"/>
        <c:smooth val="0"/>
        <c:axId val="439742112"/>
        <c:axId val="439742944"/>
      </c:lineChart>
      <c:catAx>
        <c:axId val="4397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2944"/>
        <c:crosses val="autoZero"/>
        <c:auto val="1"/>
        <c:lblAlgn val="ctr"/>
        <c:lblOffset val="100"/>
        <c:noMultiLvlLbl val="0"/>
      </c:catAx>
      <c:valAx>
        <c:axId val="439742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21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table!PivotTable5</c:name>
    <c:fmtId val="3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PRODUCT</a:t>
            </a:r>
          </a:p>
        </c:rich>
      </c:tx>
      <c:overlay val="0"/>
      <c:spPr>
        <a:noFill/>
        <a:ln>
          <a:noFill/>
        </a:ln>
        <a:effectLst/>
      </c:spPr>
    </c:title>
    <c:autoTitleDeleted val="0"/>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'Pivot table'!$E$3</c:f>
              <c:strCache>
                <c:ptCount val="1"/>
                <c:pt idx="0">
                  <c:v>Total</c:v>
                </c:pt>
              </c:strCache>
            </c:strRef>
          </c:tx>
          <c:spPr>
            <a:solidFill>
              <a:schemeClr val="accent4"/>
            </a:solidFill>
            <a:ln>
              <a:noFill/>
            </a:ln>
            <a:effectLst/>
          </c:spPr>
          <c:invertIfNegative val="0"/>
          <c:cat>
            <c:strRef>
              <c:f>'Pivot table'!$D$4:$D$14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table'!$E$4:$E$14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2-4B03-426E-9960-2C6CC187BE78}"/>
            </c:ext>
          </c:extLst>
        </c:ser>
        <c:dLbls>
          <c:showLegendKey val="0"/>
          <c:showVal val="0"/>
          <c:showCatName val="0"/>
          <c:showSerName val="0"/>
          <c:showPercent val="0"/>
          <c:showBubbleSize val="0"/>
        </c:dLbls>
        <c:gapWidth val="150"/>
        <c:overlap val="100"/>
        <c:axId val="226091136"/>
        <c:axId val="226090720"/>
      </c:barChart>
      <c:catAx>
        <c:axId val="22609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6090720"/>
        <c:crosses val="autoZero"/>
        <c:auto val="1"/>
        <c:lblAlgn val="ctr"/>
        <c:lblOffset val="100"/>
        <c:noMultiLvlLbl val="0"/>
      </c:catAx>
      <c:valAx>
        <c:axId val="226090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60911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9050" cap="flat" cmpd="sng" algn="ctr">
      <a:solidFill>
        <a:schemeClr val="bg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solidFill>
            <a:schemeClr val="accent4"/>
          </a:solidFill>
          <a:ln>
            <a:noFill/>
          </a:ln>
          <a:effectLst/>
          <a:sp3d/>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solidFill>
              <a:schemeClr val="accent4"/>
            </a:solidFill>
            <a:ln>
              <a:noFill/>
            </a:ln>
            <a:effectLst/>
            <a:sp3d/>
          </c:spPr>
          <c:invertIfNegative val="0"/>
          <c:cat>
            <c:strRef>
              <c:f>'Pivot table'!$G$4:$G$9</c:f>
              <c:strCache>
                <c:ptCount val="5"/>
                <c:pt idx="0">
                  <c:v>Central</c:v>
                </c:pt>
                <c:pt idx="1">
                  <c:v>East</c:v>
                </c:pt>
                <c:pt idx="2">
                  <c:v>North</c:v>
                </c:pt>
                <c:pt idx="3">
                  <c:v>South</c:v>
                </c:pt>
                <c:pt idx="4">
                  <c:v>West</c:v>
                </c:pt>
              </c:strCache>
            </c:strRef>
          </c:cat>
          <c:val>
            <c:numRef>
              <c:f>'Pivot table'!$H$4:$H$9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2-E40D-45F4-B552-D8721EDF8A2F}"/>
            </c:ext>
          </c:extLst>
        </c:ser>
        <c:dLbls>
          <c:showLegendKey val="0"/>
          <c:showVal val="0"/>
          <c:showCatName val="0"/>
          <c:showSerName val="0"/>
          <c:showPercent val="0"/>
          <c:showBubbleSize val="0"/>
        </c:dLbls>
        <c:gapWidth val="150"/>
        <c:shape val="box"/>
        <c:axId val="226101536"/>
        <c:axId val="226103616"/>
        <c:axId val="0"/>
      </c:bar3DChart>
      <c:catAx>
        <c:axId val="22610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3616"/>
        <c:crosses val="autoZero"/>
        <c:auto val="1"/>
        <c:lblAlgn val="ctr"/>
        <c:lblOffset val="100"/>
        <c:noMultiLvlLbl val="0"/>
      </c:catAx>
      <c:valAx>
        <c:axId val="226103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15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table!PivotTable11</c:name>
    <c:fmtId val="22"/>
  </c:pivotSource>
  <c:chart>
    <c:title>
      <c:layout>
        <c:manualLayout>
          <c:xMode val="edge"/>
          <c:yMode val="edge"/>
          <c:x val="0.41304194117678139"/>
          <c:y val="3.62696882125711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hade val="65000"/>
            </a:schemeClr>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tint val="65000"/>
            </a:schemeClr>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hade val="65000"/>
            </a:schemeClr>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tint val="65000"/>
            </a:schemeClr>
          </a:solidFill>
          <a:ln w="19050">
            <a:solidFill>
              <a:schemeClr val="lt1"/>
            </a:solidFill>
          </a:ln>
          <a:effectLst/>
        </c:spPr>
      </c:pivotFmt>
    </c:pivotFmts>
    <c:plotArea>
      <c:layout>
        <c:manualLayout>
          <c:layoutTarget val="inner"/>
          <c:xMode val="edge"/>
          <c:yMode val="edge"/>
          <c:x val="0.11354064615750353"/>
          <c:y val="0.15976796533606025"/>
          <c:w val="0.46137164905955003"/>
          <c:h val="0.70589869075317779"/>
        </c:manualLayout>
      </c:layout>
      <c:pieChart>
        <c:varyColors val="1"/>
        <c:ser>
          <c:idx val="0"/>
          <c:order val="0"/>
          <c:tx>
            <c:strRef>
              <c:f>'Pivot table'!$H$14</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44E0-46FB-807E-AAAD593A620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4E0-46FB-807E-AAAD593A6207}"/>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44E0-46FB-807E-AAAD593A6207}"/>
              </c:ext>
            </c:extLst>
          </c:dPt>
          <c:cat>
            <c:strRef>
              <c:f>'Pivot table'!$G$15:$G$18</c:f>
              <c:strCache>
                <c:ptCount val="3"/>
                <c:pt idx="0">
                  <c:v>Basic</c:v>
                </c:pt>
                <c:pt idx="1">
                  <c:v>Premium</c:v>
                </c:pt>
                <c:pt idx="2">
                  <c:v>Standard</c:v>
                </c:pt>
              </c:strCache>
            </c:strRef>
          </c:cat>
          <c:val>
            <c:numRef>
              <c:f>'Pivot table'!$H$15:$H$18</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44E0-46FB-807E-AAAD593A62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solidFill>
              <a:schemeClr val="accent4"/>
            </a:solidFill>
            <a:ln>
              <a:noFill/>
            </a:ln>
            <a:effectLst/>
            <a:sp3d/>
          </c:spPr>
          <c:invertIfNegative val="0"/>
          <c:cat>
            <c:strRef>
              <c:f>'Pivot table'!$G$4:$G$9</c:f>
              <c:strCache>
                <c:ptCount val="5"/>
                <c:pt idx="0">
                  <c:v>Central</c:v>
                </c:pt>
                <c:pt idx="1">
                  <c:v>East</c:v>
                </c:pt>
                <c:pt idx="2">
                  <c:v>North</c:v>
                </c:pt>
                <c:pt idx="3">
                  <c:v>South</c:v>
                </c:pt>
                <c:pt idx="4">
                  <c:v>West</c:v>
                </c:pt>
              </c:strCache>
            </c:strRef>
          </c:cat>
          <c:val>
            <c:numRef>
              <c:f>'Pivot table'!$H$4:$H$9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2-A83A-4265-BBA0-9044E29FD04A}"/>
            </c:ext>
          </c:extLst>
        </c:ser>
        <c:dLbls>
          <c:showLegendKey val="0"/>
          <c:showVal val="0"/>
          <c:showCatName val="0"/>
          <c:showSerName val="0"/>
          <c:showPercent val="0"/>
          <c:showBubbleSize val="0"/>
        </c:dLbls>
        <c:gapWidth val="150"/>
        <c:shape val="box"/>
        <c:axId val="226101536"/>
        <c:axId val="226103616"/>
        <c:axId val="0"/>
      </c:bar3DChart>
      <c:catAx>
        <c:axId val="22610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3616"/>
        <c:crosses val="autoZero"/>
        <c:auto val="1"/>
        <c:lblAlgn val="ctr"/>
        <c:lblOffset val="100"/>
        <c:noMultiLvlLbl val="0"/>
      </c:catAx>
      <c:valAx>
        <c:axId val="226103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MONTHY SALES TREND</a:t>
            </a:r>
          </a:p>
        </c:rich>
      </c:tx>
      <c:layout>
        <c:manualLayout>
          <c:xMode val="edge"/>
          <c:yMode val="edge"/>
          <c:x val="0.37542235501244337"/>
          <c:y val="0.10305287625942648"/>
        </c:manualLayout>
      </c:layout>
      <c:overlay val="0"/>
      <c:spPr>
        <a:noFill/>
        <a:ln>
          <a:noFill/>
        </a:ln>
        <a:effectLst/>
      </c:sp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21142927637347775"/>
          <c:y val="0.27733816581528198"/>
          <c:w val="0.64392760031884921"/>
          <c:h val="0.51624619351246825"/>
        </c:manualLayout>
      </c:layout>
      <c:lineChart>
        <c:grouping val="stacked"/>
        <c:varyColors val="0"/>
        <c:ser>
          <c:idx val="0"/>
          <c:order val="0"/>
          <c:tx>
            <c:strRef>
              <c:f>'Pivot table'!$E$19</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table'!$D$20:$D$33</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table'!$E$20:$E$33</c:f>
              <c:numCache>
                <c:formatCode>"₹"\ #,##0.00</c:formatCode>
                <c:ptCount val="13"/>
                <c:pt idx="0">
                  <c:v>20919.330000000002</c:v>
                </c:pt>
                <c:pt idx="1">
                  <c:v>17039.349999999999</c:v>
                </c:pt>
                <c:pt idx="2">
                  <c:v>19299.45</c:v>
                </c:pt>
                <c:pt idx="3">
                  <c:v>18479.399999999991</c:v>
                </c:pt>
                <c:pt idx="4">
                  <c:v>15759.43</c:v>
                </c:pt>
                <c:pt idx="5">
                  <c:v>12989.51</c:v>
                </c:pt>
                <c:pt idx="6">
                  <c:v>20609.52</c:v>
                </c:pt>
                <c:pt idx="7">
                  <c:v>12309.44</c:v>
                </c:pt>
                <c:pt idx="8">
                  <c:v>23039.3</c:v>
                </c:pt>
                <c:pt idx="9">
                  <c:v>25799.15</c:v>
                </c:pt>
                <c:pt idx="10">
                  <c:v>16069.38</c:v>
                </c:pt>
                <c:pt idx="11">
                  <c:v>19899.38</c:v>
                </c:pt>
                <c:pt idx="12">
                  <c:v>6979.829999999999</c:v>
                </c:pt>
              </c:numCache>
            </c:numRef>
          </c:val>
          <c:smooth val="0"/>
          <c:extLst>
            <c:ext xmlns:c16="http://schemas.microsoft.com/office/drawing/2014/chart" uri="{C3380CC4-5D6E-409C-BE32-E72D297353CC}">
              <c16:uniqueId val="{00000002-93EC-4750-B83B-A5473E4EAB29}"/>
            </c:ext>
          </c:extLst>
        </c:ser>
        <c:dLbls>
          <c:showLegendKey val="0"/>
          <c:showVal val="0"/>
          <c:showCatName val="0"/>
          <c:showSerName val="0"/>
          <c:showPercent val="0"/>
          <c:showBubbleSize val="0"/>
        </c:dLbls>
        <c:marker val="1"/>
        <c:smooth val="0"/>
        <c:axId val="439742112"/>
        <c:axId val="439742944"/>
      </c:lineChart>
      <c:catAx>
        <c:axId val="4397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2944"/>
        <c:crosses val="autoZero"/>
        <c:auto val="1"/>
        <c:lblAlgn val="ctr"/>
        <c:lblOffset val="100"/>
        <c:noMultiLvlLbl val="0"/>
      </c:catAx>
      <c:valAx>
        <c:axId val="439742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21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table!PivotTable11</c:name>
    <c:fmtId val="20"/>
  </c:pivotSource>
  <c:chart>
    <c:title>
      <c:layout>
        <c:manualLayout>
          <c:xMode val="edge"/>
          <c:yMode val="edge"/>
          <c:x val="0.41304194117678139"/>
          <c:y val="3.62696882125711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manualLayout>
          <c:layoutTarget val="inner"/>
          <c:xMode val="edge"/>
          <c:yMode val="edge"/>
          <c:x val="0.11354064615750353"/>
          <c:y val="0.15976796533606025"/>
          <c:w val="0.46137164905955003"/>
          <c:h val="0.70589869075317779"/>
        </c:manualLayout>
      </c:layout>
      <c:pieChart>
        <c:varyColors val="1"/>
        <c:ser>
          <c:idx val="0"/>
          <c:order val="0"/>
          <c:tx>
            <c:strRef>
              <c:f>'Pivot table'!$H$14</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56BB-4B42-9436-10828BF17D6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6BB-4B42-9436-10828BF17D6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56BB-4B42-9436-10828BF17D69}"/>
              </c:ext>
            </c:extLst>
          </c:dPt>
          <c:cat>
            <c:strRef>
              <c:f>'Pivot table'!$G$15:$G$18</c:f>
              <c:strCache>
                <c:ptCount val="3"/>
                <c:pt idx="0">
                  <c:v>Basic</c:v>
                </c:pt>
                <c:pt idx="1">
                  <c:v>Premium</c:v>
                </c:pt>
                <c:pt idx="2">
                  <c:v>Standard</c:v>
                </c:pt>
              </c:strCache>
            </c:strRef>
          </c:cat>
          <c:val>
            <c:numRef>
              <c:f>'Pivot table'!$H$15:$H$18</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56BB-4B42-9436-10828BF17D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table!PivotTable5</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table'!$E$3</c:f>
              <c:strCache>
                <c:ptCount val="1"/>
                <c:pt idx="0">
                  <c:v>Total</c:v>
                </c:pt>
              </c:strCache>
            </c:strRef>
          </c:tx>
          <c:spPr>
            <a:solidFill>
              <a:schemeClr val="accent4"/>
            </a:solidFill>
            <a:ln>
              <a:noFill/>
            </a:ln>
            <a:effectLst/>
          </c:spPr>
          <c:invertIfNegative val="0"/>
          <c:cat>
            <c:strRef>
              <c:f>'Pivot table'!$D$4:$D$14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table'!$E$4:$E$14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51AD-4342-A02B-0A0152FEF27D}"/>
            </c:ext>
          </c:extLst>
        </c:ser>
        <c:dLbls>
          <c:showLegendKey val="0"/>
          <c:showVal val="0"/>
          <c:showCatName val="0"/>
          <c:showSerName val="0"/>
          <c:showPercent val="0"/>
          <c:showBubbleSize val="0"/>
        </c:dLbls>
        <c:gapWidth val="150"/>
        <c:overlap val="100"/>
        <c:axId val="226091136"/>
        <c:axId val="226090720"/>
      </c:barChart>
      <c:catAx>
        <c:axId val="22609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6090720"/>
        <c:crosses val="autoZero"/>
        <c:auto val="1"/>
        <c:lblAlgn val="ctr"/>
        <c:lblOffset val="100"/>
        <c:noMultiLvlLbl val="0"/>
      </c:catAx>
      <c:valAx>
        <c:axId val="226090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609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381000</xdr:colOff>
      <xdr:row>1</xdr:row>
      <xdr:rowOff>108860</xdr:rowOff>
    </xdr:from>
    <xdr:to>
      <xdr:col>18</xdr:col>
      <xdr:colOff>356681</xdr:colOff>
      <xdr:row>19</xdr:row>
      <xdr:rowOff>81064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359229</xdr:colOff>
      <xdr:row>1</xdr:row>
      <xdr:rowOff>108857</xdr:rowOff>
    </xdr:from>
    <xdr:to>
      <xdr:col>8</xdr:col>
      <xdr:colOff>457200</xdr:colOff>
      <xdr:row>20</xdr:row>
      <xdr:rowOff>21771</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437745</xdr:colOff>
      <xdr:row>22</xdr:row>
      <xdr:rowOff>145915</xdr:rowOff>
    </xdr:from>
    <xdr:to>
      <xdr:col>18</xdr:col>
      <xdr:colOff>486383</xdr:colOff>
      <xdr:row>39</xdr:row>
      <xdr:rowOff>113489</xdr:rowOff>
    </xdr:to>
    <xdr:graphicFrame macro="">
      <xdr:nvGraphicFramePr>
        <xdr:cNvPr id="6" name="Chart 5">
          <a:extLst>
            <a:ext uri="{FF2B5EF4-FFF2-40B4-BE49-F238E27FC236}">
              <a16:creationId xmlns:a16="http://schemas.microsoft.com/office/drawing/2014/main" id="{6FEF44B0-2E39-4987-9D58-8AA05FA62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522514</xdr:colOff>
      <xdr:row>22</xdr:row>
      <xdr:rowOff>65314</xdr:rowOff>
    </xdr:from>
    <xdr:to>
      <xdr:col>8</xdr:col>
      <xdr:colOff>500743</xdr:colOff>
      <xdr:row>40</xdr:row>
      <xdr:rowOff>87085</xdr:rowOff>
    </xdr:to>
    <xdr:graphicFrame macro="">
      <xdr:nvGraphicFramePr>
        <xdr:cNvPr id="8" name="Chart 7">
          <a:extLst>
            <a:ext uri="{FF2B5EF4-FFF2-40B4-BE49-F238E27FC236}">
              <a16:creationId xmlns:a16="http://schemas.microsoft.com/office/drawing/2014/main" id="{3BB5334C-8571-44D3-BB60-A4FC9A439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181970</xdr:colOff>
      <xdr:row>7</xdr:row>
      <xdr:rowOff>147851</xdr:rowOff>
    </xdr:from>
    <xdr:to>
      <xdr:col>5</xdr:col>
      <xdr:colOff>227462</xdr:colOff>
      <xdr:row>24</xdr:row>
      <xdr:rowOff>11373</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451572</xdr:colOff>
      <xdr:row>11</xdr:row>
      <xdr:rowOff>34120</xdr:rowOff>
    </xdr:from>
    <xdr:to>
      <xdr:col>10</xdr:col>
      <xdr:colOff>624357</xdr:colOff>
      <xdr:row>26</xdr:row>
      <xdr:rowOff>159223</xdr:rowOff>
    </xdr:to>
    <xdr:graphicFrame macro="">
      <xdr:nvGraphicFramePr>
        <xdr:cNvPr id="9" name="Chart 8">
          <a:extLst>
            <a:ext uri="{FF2B5EF4-FFF2-40B4-BE49-F238E27FC236}">
              <a16:creationId xmlns:a16="http://schemas.microsoft.com/office/drawing/2014/main" id="{A8C1843B-7206-4372-83E1-35718AC3E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204716</xdr:colOff>
      <xdr:row>28</xdr:row>
      <xdr:rowOff>102358</xdr:rowOff>
    </xdr:from>
    <xdr:to>
      <xdr:col>15</xdr:col>
      <xdr:colOff>238835</xdr:colOff>
      <xdr:row>39</xdr:row>
      <xdr:rowOff>125104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ABC6505-B2A9-4C20-9CE7-B5B8DBA4C8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63701" y="5061045"/>
              <a:ext cx="2718179" cy="1899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614150</xdr:colOff>
      <xdr:row>27</xdr:row>
      <xdr:rowOff>102358</xdr:rowOff>
    </xdr:from>
    <xdr:to>
      <xdr:col>6</xdr:col>
      <xdr:colOff>905361</xdr:colOff>
      <xdr:row>41</xdr:row>
      <xdr:rowOff>65045</xdr:rowOff>
    </xdr:to>
    <mc:AlternateContent xmlns:mc="http://schemas.openxmlformats.org/markup-compatibility/2006">
      <mc:Choice xmlns:a14="http://schemas.microsoft.com/office/drawing/2010/main" Requires="a14">
        <xdr:graphicFrame macro="">
          <xdr:nvGraphicFramePr>
            <xdr:cNvPr id="11" name="Customer_Name">
              <a:extLst>
                <a:ext uri="{FF2B5EF4-FFF2-40B4-BE49-F238E27FC236}">
                  <a16:creationId xmlns:a16="http://schemas.microsoft.com/office/drawing/2014/main" id="{4F590BAB-6CF6-4ED5-8E3F-7A3B062B4F4B}"/>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5914031" y="4890448"/>
              <a:ext cx="1974434" cy="2351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272956</xdr:colOff>
      <xdr:row>28</xdr:row>
      <xdr:rowOff>11371</xdr:rowOff>
    </xdr:from>
    <xdr:to>
      <xdr:col>10</xdr:col>
      <xdr:colOff>454926</xdr:colOff>
      <xdr:row>41</xdr:row>
      <xdr:rowOff>144783</xdr:rowOff>
    </xdr:to>
    <mc:AlternateContent xmlns:mc="http://schemas.openxmlformats.org/markup-compatibility/2006">
      <mc:Choice xmlns:a14="http://schemas.microsoft.com/office/drawing/2010/main" Requires="a14">
        <xdr:graphicFrame macro="">
          <xdr:nvGraphicFramePr>
            <xdr:cNvPr id="12" name="Product_Name 1">
              <a:extLst>
                <a:ext uri="{FF2B5EF4-FFF2-40B4-BE49-F238E27FC236}">
                  <a16:creationId xmlns:a16="http://schemas.microsoft.com/office/drawing/2014/main" id="{E89136E6-E54C-4B51-97F4-4A1F91E7D59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8347881" y="4970058"/>
              <a:ext cx="2195015" cy="2351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159224</xdr:rowOff>
    </xdr:from>
    <xdr:to>
      <xdr:col>17</xdr:col>
      <xdr:colOff>45492</xdr:colOff>
      <xdr:row>3</xdr:row>
      <xdr:rowOff>159224</xdr:rowOff>
    </xdr:to>
    <xdr:sp macro="" textlink="">
      <xdr:nvSpPr>
        <xdr:cNvPr id="15" name="Rectangle 14">
          <a:extLst>
            <a:ext uri="{FF2B5EF4-FFF2-40B4-BE49-F238E27FC236}">
              <a16:creationId xmlns:a16="http://schemas.microsoft.com/office/drawing/2014/main" id="{4AC8943B-BA48-47F6-BEB1-4B203CE1403A}"/>
            </a:ext>
          </a:extLst>
        </xdr:cNvPr>
        <xdr:cNvSpPr/>
      </xdr:nvSpPr>
      <xdr:spPr>
        <a:xfrm>
          <a:off x="0" y="159224"/>
          <a:ext cx="14830567" cy="511791"/>
        </a:xfrm>
        <a:prstGeom prst="rect">
          <a:avLst/>
        </a:prstGeom>
        <a:solidFill>
          <a:schemeClr val="accent5">
            <a:lumMod val="75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2400" b="0" cap="none" spc="0">
              <a:ln w="0"/>
              <a:solidFill>
                <a:schemeClr val="tx1"/>
              </a:solidFill>
              <a:effectLst>
                <a:outerShdw blurRad="38100" dist="19050" dir="2700000" algn="tl" rotWithShape="0">
                  <a:schemeClr val="dk1">
                    <a:alpha val="40000"/>
                  </a:schemeClr>
                </a:outerShdw>
              </a:effectLst>
            </a:rPr>
            <a:t>Sales </a:t>
          </a:r>
          <a:r>
            <a:rPr lang="en-IN" sz="1600" b="0" cap="none" spc="0" baseline="0">
              <a:ln w="0"/>
              <a:solidFill>
                <a:schemeClr val="tx1"/>
              </a:solidFill>
              <a:effectLst>
                <a:outerShdw blurRad="38100" dist="19050" dir="2700000" algn="tl" rotWithShape="0">
                  <a:schemeClr val="dk1">
                    <a:alpha val="40000"/>
                  </a:schemeClr>
                </a:outerShdw>
              </a:effectLst>
            </a:rPr>
            <a:t> </a:t>
          </a:r>
          <a:r>
            <a:rPr lang="en-IN" sz="2400" b="0" cap="none" spc="0" baseline="0">
              <a:ln w="0"/>
              <a:solidFill>
                <a:schemeClr val="tx1"/>
              </a:solidFill>
              <a:effectLst>
                <a:outerShdw blurRad="38100" dist="19050" dir="2700000" algn="tl" rotWithShape="0">
                  <a:schemeClr val="dk1">
                    <a:alpha val="40000"/>
                  </a:schemeClr>
                </a:outerShdw>
              </a:effectLst>
            </a:rPr>
            <a:t>Performance</a:t>
          </a:r>
          <a:r>
            <a:rPr lang="en-IN" sz="1600" b="0" cap="none" spc="0" baseline="0">
              <a:ln w="0"/>
              <a:solidFill>
                <a:schemeClr val="tx1"/>
              </a:solidFill>
              <a:effectLst>
                <a:outerShdw blurRad="38100" dist="19050" dir="2700000" algn="tl" rotWithShape="0">
                  <a:schemeClr val="dk1">
                    <a:alpha val="40000"/>
                  </a:schemeClr>
                </a:outerShdw>
              </a:effectLst>
            </a:rPr>
            <a:t>  </a:t>
          </a:r>
          <a:r>
            <a:rPr lang="en-IN" sz="2400" b="0" cap="none" spc="0" baseline="0">
              <a:ln w="0"/>
              <a:solidFill>
                <a:schemeClr val="tx1"/>
              </a:solidFill>
              <a:effectLst>
                <a:outerShdw blurRad="38100" dist="19050" dir="2700000" algn="tl" rotWithShape="0">
                  <a:schemeClr val="dk1">
                    <a:alpha val="40000"/>
                  </a:schemeClr>
                </a:outerShdw>
              </a:effectLst>
            </a:rPr>
            <a:t>Dashboard</a:t>
          </a:r>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6</xdr:col>
      <xdr:colOff>252102</xdr:colOff>
      <xdr:row>4</xdr:row>
      <xdr:rowOff>127000</xdr:rowOff>
    </xdr:from>
    <xdr:to>
      <xdr:col>16</xdr:col>
      <xdr:colOff>22746</xdr:colOff>
      <xdr:row>10</xdr:row>
      <xdr:rowOff>40682</xdr:rowOff>
    </xdr:to>
    <mc:AlternateContent xmlns:mc="http://schemas.openxmlformats.org/markup-compatibility/2006">
      <mc:Choice xmlns:tsle="http://schemas.microsoft.com/office/drawing/2012/timeslicer" Requires="tsle">
        <xdr:graphicFrame macro="">
          <xdr:nvGraphicFramePr>
            <xdr:cNvPr id="13" name="Timestamp">
              <a:extLst>
                <a:ext uri="{FF2B5EF4-FFF2-40B4-BE49-F238E27FC236}">
                  <a16:creationId xmlns:a16="http://schemas.microsoft.com/office/drawing/2014/main" id="{6B85EDD7-2B09-4CE8-AFA8-8552FD3873DC}"/>
                </a:ext>
              </a:extLst>
            </xdr:cNvPr>
            <xdr:cNvGraphicFramePr/>
          </xdr:nvGraphicFramePr>
          <xdr:xfrm>
            <a:off x="0" y="0"/>
            <a:ext cx="0" cy="0"/>
          </xdr:xfrm>
          <a:graphic>
            <a:graphicData uri="http://schemas.microsoft.com/office/drawing/2012/timeslicer">
              <tsle:timeslicer xmlns:tsle="http://schemas.microsoft.com/office/drawing/2012/timeslicer" name="Timestamp"/>
            </a:graphicData>
          </a:graphic>
        </xdr:graphicFrame>
      </mc:Choice>
      <mc:Fallback>
        <xdr:sp macro="" textlink="">
          <xdr:nvSpPr>
            <xdr:cNvPr id="0" name=""/>
            <xdr:cNvSpPr>
              <a:spLocks noTextEdit="1"/>
            </xdr:cNvSpPr>
          </xdr:nvSpPr>
          <xdr:spPr>
            <a:xfrm>
              <a:off x="7235206" y="809388"/>
              <a:ext cx="6901600" cy="11192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79611</xdr:colOff>
      <xdr:row>11</xdr:row>
      <xdr:rowOff>56866</xdr:rowOff>
    </xdr:from>
    <xdr:to>
      <xdr:col>18</xdr:col>
      <xdr:colOff>11372</xdr:colOff>
      <xdr:row>27</xdr:row>
      <xdr:rowOff>34411</xdr:rowOff>
    </xdr:to>
    <xdr:graphicFrame macro="">
      <xdr:nvGraphicFramePr>
        <xdr:cNvPr id="17" name="Chart 16">
          <a:extLst>
            <a:ext uri="{FF2B5EF4-FFF2-40B4-BE49-F238E27FC236}">
              <a16:creationId xmlns:a16="http://schemas.microsoft.com/office/drawing/2014/main" id="{FB5CE228-C352-4269-9C2C-4A39D1258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117667</xdr:colOff>
      <xdr:row>24</xdr:row>
      <xdr:rowOff>68238</xdr:rowOff>
    </xdr:from>
    <xdr:to>
      <xdr:col>5</xdr:col>
      <xdr:colOff>216089</xdr:colOff>
      <xdr:row>40</xdr:row>
      <xdr:rowOff>110524</xdr:rowOff>
    </xdr:to>
    <xdr:graphicFrame macro="">
      <xdr:nvGraphicFramePr>
        <xdr:cNvPr id="18" name="Chart 17">
          <a:extLst>
            <a:ext uri="{FF2B5EF4-FFF2-40B4-BE49-F238E27FC236}">
              <a16:creationId xmlns:a16="http://schemas.microsoft.com/office/drawing/2014/main" id="{1DDAB117-67DA-4782-8B71-CA1ED9D3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Final%20Project.txt"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Final%20Project.txt"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94282222222" createdVersion="8" refreshedVersion="8" minRefreshableVersion="3" recordCount="250" xr:uid="{00000000-000A-0000-FFFF-FFFF02000000}">
  <cacheSource type="worksheet">
    <worksheetSource ref="A1:U251" sheet="Final Project" r:id="rId2"/>
  </cacheSource>
  <cacheFields count="22">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708" maxValue="1706"/>
    </cacheField>
    <cacheField name="Month End" numFmtId="0">
      <sharedItems containsSemiMixedTypes="0" containsString="0" containsNumber="1" containsInteger="1" minValue="45412" maxValue="45777" count="13">
        <n v="45412"/>
        <n v="45443"/>
        <n v="45473"/>
        <n v="45504"/>
        <n v="45535"/>
        <n v="45565"/>
        <n v="45596"/>
        <n v="45626"/>
        <n v="45657"/>
        <n v="45688"/>
        <n v="45716"/>
        <n v="45747"/>
        <n v="45777"/>
      </sharedItems>
    </cacheField>
    <cacheField name="Timestamp" numFmtId="22">
      <sharedItems containsSemiMixedTypes="0" containsNonDate="0" containsDate="1" containsString="0" minDate="2026-03-20T22:34:02" maxDate="2026-03-20T22:34:02" count="1">
        <d v="2026-03-20T22:34:02"/>
      </sharedItems>
    </cacheField>
    <cacheField name="Sale Amount" numFmtId="0">
      <sharedItems/>
    </cacheField>
    <cacheField name="Unique Customers" numFmtId="0">
      <sharedItems containsBlank="1"/>
    </cacheField>
    <cacheField name="Total Spend" numFmtId="0">
      <sharedItems containsSemiMixedTypes="0" containsString="0" containsNumber="1" minValue="179.97" maxValue="15659.65"/>
    </cacheField>
  </cacheFields>
  <extLst>
    <ext xmlns:x14="http://schemas.microsoft.com/office/spreadsheetml/2009/9/main" uri="{725AE2AE-9491-48be-B2B4-4EB974FC3084}">
      <x14:pivotCacheDefinition pivotCacheId="9658057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96203923611" createdVersion="8" refreshedVersion="7" minRefreshableVersion="3" recordCount="250" xr:uid="{00000000-000A-0000-FFFF-FFFF00000000}">
  <cacheSource type="worksheet">
    <worksheetSource ref="A1:S251" sheet="Final Project" r:id="rId2"/>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887" maxValue="1885"/>
    </cacheField>
    <cacheField name="Month End" numFmtId="0">
      <sharedItems containsSemiMixedTypes="0" containsString="0" containsNumber="1" containsInteger="1" minValue="45412" maxValue="45777"/>
    </cacheField>
    <cacheField name="Timestamp" numFmtId="22">
      <sharedItems containsSemiMixedTypes="0" containsNonDate="0" containsDate="1" containsString="0" minDate="2026-09-15T23:04:17" maxDate="2026-09-15T23:04:17"/>
    </cacheField>
  </cacheFields>
  <extLst>
    <ext xmlns:x14="http://schemas.microsoft.com/office/spreadsheetml/2009/9/main" uri="{725AE2AE-9491-48be-B2B4-4EB974FC3084}">
      <x14:pivotCacheDefinition pivotCacheId="1255538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s v="Cash"/>
    <x v="0"/>
    <x v="0"/>
    <d v="2021-08-17T00:00:00"/>
    <x v="0"/>
    <s v="Apr"/>
    <n v="2024"/>
    <n v="1676"/>
    <x v="0"/>
    <x v="0"/>
    <s v="Low Sale"/>
    <s v="Paul Baker"/>
    <n v="8309.739999999998"/>
  </r>
  <r>
    <s v="TRX0023"/>
    <x v="1"/>
    <s v="CUST013"/>
    <s v="Joseph Jackson"/>
    <s v="P009"/>
    <x v="0"/>
    <s v="Electronics"/>
    <n v="3"/>
    <n v="249.99"/>
    <s v="Credit Card"/>
    <x v="0"/>
    <x v="1"/>
    <d v="2022-01-14T00:00:00"/>
    <x v="0"/>
    <s v="Apr"/>
    <n v="2024"/>
    <n v="1526"/>
    <x v="0"/>
    <x v="0"/>
    <s v="Low Sale"/>
    <s v="Joseph Jackson"/>
    <n v="6949.84"/>
  </r>
  <r>
    <s v="TRX0139"/>
    <x v="2"/>
    <s v="CUST021"/>
    <s v="Kevin Scott"/>
    <s v="P005"/>
    <x v="1"/>
    <s v="Appliances"/>
    <n v="3"/>
    <n v="59.99"/>
    <s v="PayPal"/>
    <x v="1"/>
    <x v="2"/>
    <d v="2023-12-02T00:00:00"/>
    <x v="1"/>
    <s v="Apr"/>
    <n v="2024"/>
    <n v="839"/>
    <x v="0"/>
    <x v="0"/>
    <s v="Low Sale"/>
    <s v="Kevin Scott"/>
    <n v="3259.87"/>
  </r>
  <r>
    <s v="TRX0043"/>
    <x v="3"/>
    <s v="CUST046"/>
    <s v="Kathleen Bennett"/>
    <s v="P005"/>
    <x v="1"/>
    <s v="Appliances"/>
    <n v="3"/>
    <n v="59.99"/>
    <s v="Cash"/>
    <x v="2"/>
    <x v="1"/>
    <d v="2023-07-07T00:00:00"/>
    <x v="1"/>
    <s v="Apr"/>
    <n v="2024"/>
    <n v="987"/>
    <x v="0"/>
    <x v="0"/>
    <s v="Low Sale"/>
    <s v="Kathleen Bennett"/>
    <n v="4309.8099999999986"/>
  </r>
  <r>
    <s v="TRX0212"/>
    <x v="3"/>
    <s v="CUST003"/>
    <s v="Michael Brown"/>
    <s v="P008"/>
    <x v="2"/>
    <s v="Furniture"/>
    <n v="5"/>
    <n v="149.99"/>
    <s v="Credit Card"/>
    <x v="2"/>
    <x v="1"/>
    <d v="2024-01-04T00:00:00"/>
    <x v="2"/>
    <s v="Apr"/>
    <n v="2024"/>
    <n v="806"/>
    <x v="0"/>
    <x v="0"/>
    <s v="Low Sale"/>
    <s v="Michael Brown"/>
    <n v="6169.7400000000007"/>
  </r>
  <r>
    <s v="TRX0092"/>
    <x v="4"/>
    <s v="CUST024"/>
    <s v="Dorothy Nelson"/>
    <s v="P005"/>
    <x v="1"/>
    <s v="Appliances"/>
    <n v="2"/>
    <n v="59.99"/>
    <s v="Cash"/>
    <x v="3"/>
    <x v="2"/>
    <d v="2022-07-04T00:00:00"/>
    <x v="3"/>
    <s v="Apr"/>
    <n v="2024"/>
    <n v="1355"/>
    <x v="0"/>
    <x v="0"/>
    <s v="Low Sale"/>
    <s v="Dorothy Nelson"/>
    <n v="8269.7900000000009"/>
  </r>
  <r>
    <s v="TRX0193"/>
    <x v="4"/>
    <s v="CUST024"/>
    <s v="Dorothy Nelson"/>
    <s v="P003"/>
    <x v="3"/>
    <s v="Electronics"/>
    <n v="5"/>
    <n v="149.99"/>
    <s v="Credit Card"/>
    <x v="0"/>
    <x v="2"/>
    <d v="2021-08-10T00:00:00"/>
    <x v="2"/>
    <s v="Apr"/>
    <n v="2024"/>
    <n v="1683"/>
    <x v="0"/>
    <x v="0"/>
    <s v="Low Sale"/>
    <s v="Charles Allen"/>
    <n v="8269.7900000000009"/>
  </r>
  <r>
    <s v="TRX0240"/>
    <x v="4"/>
    <s v="CUST017"/>
    <s v="Charles Allen"/>
    <s v="P005"/>
    <x v="1"/>
    <s v="Appliances"/>
    <n v="3"/>
    <n v="59.99"/>
    <s v="Debit Card"/>
    <x v="1"/>
    <x v="0"/>
    <d v="2023-03-22T00:00:00"/>
    <x v="1"/>
    <s v="Apr"/>
    <n v="2024"/>
    <n v="1094"/>
    <x v="0"/>
    <x v="0"/>
    <s v="Low Sale"/>
    <s v="Robert Thomas"/>
    <n v="5089.7299999999996"/>
  </r>
  <r>
    <s v="TRX0135"/>
    <x v="5"/>
    <s v="CUST009"/>
    <s v="Robert Thomas"/>
    <s v="P001"/>
    <x v="4"/>
    <s v="Electronics"/>
    <n v="3"/>
    <n v="899.99"/>
    <s v="PayPal"/>
    <x v="4"/>
    <x v="2"/>
    <d v="2024-01-08T00:00:00"/>
    <x v="4"/>
    <s v="Apr"/>
    <n v="2024"/>
    <n v="802"/>
    <x v="0"/>
    <x v="0"/>
    <s v="High Sale"/>
    <s v="Karen Hill"/>
    <n v="3509.9"/>
  </r>
  <r>
    <s v="TRX0185"/>
    <x v="6"/>
    <s v="CUST026"/>
    <s v="Karen Hill"/>
    <s v="P005"/>
    <x v="1"/>
    <s v="Appliances"/>
    <n v="3"/>
    <n v="59.99"/>
    <s v="Cash"/>
    <x v="3"/>
    <x v="1"/>
    <d v="2023-10-08T00:00:00"/>
    <x v="1"/>
    <s v="Apr"/>
    <n v="2024"/>
    <n v="894"/>
    <x v="0"/>
    <x v="0"/>
    <s v="Low Sale"/>
    <s v="Susan Green"/>
    <n v="8009.77"/>
  </r>
  <r>
    <s v="TRX0138"/>
    <x v="6"/>
    <s v="CUST022"/>
    <s v="Susan Green"/>
    <s v="P008"/>
    <x v="2"/>
    <s v="Furniture"/>
    <n v="1"/>
    <n v="149.99"/>
    <s v="Credit Card"/>
    <x v="3"/>
    <x v="2"/>
    <d v="2023-06-26T00:00:00"/>
    <x v="5"/>
    <s v="Apr"/>
    <n v="2024"/>
    <n v="998"/>
    <x v="0"/>
    <x v="0"/>
    <s v="Low Sale"/>
    <s v="Peter Richardson"/>
    <n v="1979.89"/>
  </r>
  <r>
    <s v="TRX0209"/>
    <x v="6"/>
    <s v="CUST046"/>
    <s v="Kathleen Bennett"/>
    <s v="P008"/>
    <x v="2"/>
    <s v="Furniture"/>
    <n v="5"/>
    <n v="149.99"/>
    <s v="Debit Card"/>
    <x v="2"/>
    <x v="0"/>
    <d v="2022-09-26T00:00:00"/>
    <x v="2"/>
    <s v="Apr"/>
    <n v="2024"/>
    <n v="1271"/>
    <x v="0"/>
    <x v="0"/>
    <s v="Low Sale"/>
    <s v="Dennis Gray"/>
    <n v="4309.8099999999986"/>
  </r>
  <r>
    <s v="TRX0246"/>
    <x v="6"/>
    <s v="CUST041"/>
    <s v="Peter Richardson"/>
    <s v="P008"/>
    <x v="2"/>
    <s v="Furniture"/>
    <n v="3"/>
    <n v="149.99"/>
    <s v="Cash"/>
    <x v="2"/>
    <x v="1"/>
    <d v="2022-09-02T00:00:00"/>
    <x v="6"/>
    <s v="Apr"/>
    <n v="2024"/>
    <n v="1295"/>
    <x v="0"/>
    <x v="0"/>
    <s v="Low Sale"/>
    <s v="Michelle Rogers"/>
    <n v="5949.85"/>
  </r>
  <r>
    <s v="TRX0067"/>
    <x v="7"/>
    <s v="CUST043"/>
    <s v="Dennis Gray"/>
    <s v="P005"/>
    <x v="1"/>
    <s v="Appliances"/>
    <n v="3"/>
    <n v="59.99"/>
    <s v="Credit Card"/>
    <x v="2"/>
    <x v="2"/>
    <d v="2024-02-29T00:00:00"/>
    <x v="1"/>
    <s v="Apr"/>
    <n v="2024"/>
    <n v="750"/>
    <x v="0"/>
    <x v="0"/>
    <s v="Low Sale"/>
    <s v="George Adams"/>
    <n v="479.92"/>
  </r>
  <r>
    <s v="TRX0191"/>
    <x v="7"/>
    <s v="CUST038"/>
    <s v="Michelle Rogers"/>
    <s v="P002"/>
    <x v="5"/>
    <s v="Electronics"/>
    <n v="3"/>
    <n v="699.99"/>
    <s v="Credit Card"/>
    <x v="3"/>
    <x v="0"/>
    <d v="2022-01-16T00:00:00"/>
    <x v="7"/>
    <s v="Apr"/>
    <n v="2024"/>
    <n v="1524"/>
    <x v="0"/>
    <x v="0"/>
    <s v="High Sale"/>
    <s v="Mark Carter"/>
    <n v="4199.9399999999996"/>
  </r>
  <r>
    <s v="TRX0230"/>
    <x v="7"/>
    <s v="CUST027"/>
    <s v="George Adams"/>
    <s v="P001"/>
    <x v="4"/>
    <s v="Electronics"/>
    <n v="1"/>
    <n v="899.99"/>
    <s v="Debit Card"/>
    <x v="2"/>
    <x v="2"/>
    <d v="2022-12-25T00:00:00"/>
    <x v="8"/>
    <s v="Apr"/>
    <n v="2024"/>
    <n v="1181"/>
    <x v="0"/>
    <x v="0"/>
    <s v="Low Sale"/>
    <s v="Maria Garcia"/>
    <n v="3779.93"/>
  </r>
  <r>
    <s v="TRX0049"/>
    <x v="8"/>
    <s v="CUST025"/>
    <s v="Mark Carter"/>
    <s v="P008"/>
    <x v="2"/>
    <s v="Furniture"/>
    <n v="4"/>
    <n v="149.99"/>
    <s v="Debit Card"/>
    <x v="2"/>
    <x v="1"/>
    <d v="2024-03-23T00:00:00"/>
    <x v="9"/>
    <s v="Apr"/>
    <n v="2024"/>
    <n v="727"/>
    <x v="0"/>
    <x v="0"/>
    <s v="Low Sale"/>
    <s v="Virginia Sanders"/>
    <n v="15659.65"/>
  </r>
  <r>
    <s v="TRX0134"/>
    <x v="8"/>
    <s v="CUST010"/>
    <s v="Maria Garcia"/>
    <s v="P002"/>
    <x v="5"/>
    <s v="Electronics"/>
    <n v="2"/>
    <n v="699.99"/>
    <s v="Cash"/>
    <x v="2"/>
    <x v="0"/>
    <d v="2022-08-08T00:00:00"/>
    <x v="10"/>
    <s v="Apr"/>
    <n v="2024"/>
    <n v="1320"/>
    <x v="0"/>
    <x v="0"/>
    <s v="High Sale"/>
    <s v="Barbara Young"/>
    <n v="1909.93"/>
  </r>
  <r>
    <s v="TRX0122"/>
    <x v="8"/>
    <s v="CUST025"/>
    <s v="Mark Carter"/>
    <s v="P001"/>
    <x v="4"/>
    <s v="Electronics"/>
    <n v="4"/>
    <n v="899.99"/>
    <s v="Credit Card"/>
    <x v="3"/>
    <x v="2"/>
    <d v="2024-02-05T00:00:00"/>
    <x v="11"/>
    <s v="Apr"/>
    <n v="2024"/>
    <n v="774"/>
    <x v="0"/>
    <x v="0"/>
    <s v="High Sale"/>
    <s v="Patricia Moore"/>
    <n v="15659.65"/>
  </r>
  <r>
    <s v="TRX0222"/>
    <x v="8"/>
    <s v="CUST048"/>
    <s v="Virginia Sanders"/>
    <s v="P009"/>
    <x v="0"/>
    <s v="Electronics"/>
    <n v="3"/>
    <n v="249.99"/>
    <s v="Credit Card"/>
    <x v="2"/>
    <x v="1"/>
    <d v="2023-10-25T00:00:00"/>
    <x v="0"/>
    <s v="Apr"/>
    <n v="2024"/>
    <n v="877"/>
    <x v="0"/>
    <x v="0"/>
    <s v="Low Sale"/>
    <s v="Cynthia Price"/>
    <n v="4789.7900000000009"/>
  </r>
  <r>
    <s v="TRX0231"/>
    <x v="9"/>
    <s v="CUST018"/>
    <s v="Barbara Young"/>
    <s v="P002"/>
    <x v="5"/>
    <s v="Electronics"/>
    <n v="5"/>
    <n v="699.99"/>
    <s v="Cash"/>
    <x v="3"/>
    <x v="0"/>
    <d v="2023-08-29T00:00:00"/>
    <x v="12"/>
    <s v="Apr"/>
    <n v="2024"/>
    <n v="934"/>
    <x v="0"/>
    <x v="0"/>
    <s v="High Sale"/>
    <s v="Nancy Collins"/>
    <n v="10649.8"/>
  </r>
  <r>
    <s v="TRX0239"/>
    <x v="10"/>
    <s v="CUST012"/>
    <s v="Patricia Moore"/>
    <s v="P002"/>
    <x v="5"/>
    <s v="Electronics"/>
    <n v="4"/>
    <n v="699.99"/>
    <s v="Cash"/>
    <x v="4"/>
    <x v="2"/>
    <d v="2021-08-01T00:00:00"/>
    <x v="13"/>
    <s v="May"/>
    <n v="2024"/>
    <n v="1692"/>
    <x v="1"/>
    <x v="0"/>
    <s v="High Sale"/>
    <s v="Linda Martin"/>
    <n v="9799.73"/>
  </r>
  <r>
    <s v="TRX0204"/>
    <x v="11"/>
    <s v="CUST044"/>
    <s v="Cynthia Price"/>
    <s v="P009"/>
    <x v="0"/>
    <s v="Electronics"/>
    <n v="4"/>
    <n v="249.99"/>
    <s v="PayPal"/>
    <x v="2"/>
    <x v="2"/>
    <d v="2021-09-29T00:00:00"/>
    <x v="14"/>
    <s v="May"/>
    <n v="2024"/>
    <n v="1633"/>
    <x v="1"/>
    <x v="0"/>
    <s v="Low Sale"/>
    <s v="Helen Roberts"/>
    <n v="3769.83"/>
  </r>
  <r>
    <s v="TRX0242"/>
    <x v="12"/>
    <s v="CUST025"/>
    <s v="Mark Carter"/>
    <s v="P007"/>
    <x v="6"/>
    <s v="Furniture"/>
    <n v="4"/>
    <n v="299.99"/>
    <s v="Cash"/>
    <x v="3"/>
    <x v="1"/>
    <d v="2022-06-04T00:00:00"/>
    <x v="15"/>
    <s v="May"/>
    <n v="2024"/>
    <n v="1385"/>
    <x v="1"/>
    <x v="0"/>
    <s v="High Sale"/>
    <s v="Edward Mitchell"/>
    <n v="15659.65"/>
  </r>
  <r>
    <s v="TRX0071"/>
    <x v="13"/>
    <s v="CUST036"/>
    <s v="Nancy Collins"/>
    <s v="P009"/>
    <x v="0"/>
    <s v="Electronics"/>
    <n v="5"/>
    <n v="249.99"/>
    <s v="Credit Card"/>
    <x v="3"/>
    <x v="2"/>
    <d v="2021-11-25T00:00:00"/>
    <x v="16"/>
    <s v="May"/>
    <n v="2024"/>
    <n v="1576"/>
    <x v="1"/>
    <x v="0"/>
    <s v="High Sale"/>
    <s v="Lisa Anderson"/>
    <n v="4189.7700000000004"/>
  </r>
  <r>
    <s v="TRX0040"/>
    <x v="14"/>
    <s v="CUST022"/>
    <s v="Susan Green"/>
    <s v="P007"/>
    <x v="6"/>
    <s v="Furniture"/>
    <n v="5"/>
    <n v="299.99"/>
    <s v="PayPal"/>
    <x v="4"/>
    <x v="0"/>
    <d v="2023-08-30T00:00:00"/>
    <x v="17"/>
    <s v="May"/>
    <n v="2024"/>
    <n v="933"/>
    <x v="1"/>
    <x v="0"/>
    <s v="High Sale"/>
    <s v="Emma Wilson"/>
    <n v="1979.89"/>
  </r>
  <r>
    <s v="TRX0235"/>
    <x v="14"/>
    <s v="CUST014"/>
    <s v="Linda Martin"/>
    <s v="P004"/>
    <x v="7"/>
    <s v="Appliances"/>
    <n v="3"/>
    <n v="79.989999999999995"/>
    <s v="PayPal"/>
    <x v="4"/>
    <x v="1"/>
    <d v="2023-03-27T00:00:00"/>
    <x v="18"/>
    <s v="May"/>
    <n v="2024"/>
    <n v="1089"/>
    <x v="1"/>
    <x v="0"/>
    <s v="Low Sale"/>
    <s v="Steven Turner"/>
    <n v="1289.9000000000001"/>
  </r>
  <r>
    <s v="TRX0004"/>
    <x v="14"/>
    <s v="CUST012"/>
    <s v="Patricia Moore"/>
    <s v="P010"/>
    <x v="8"/>
    <s v="Electronics"/>
    <n v="5"/>
    <n v="89.99"/>
    <s v="Cash"/>
    <x v="2"/>
    <x v="1"/>
    <d v="2022-12-24T00:00:00"/>
    <x v="19"/>
    <s v="May"/>
    <n v="2024"/>
    <n v="1182"/>
    <x v="1"/>
    <x v="0"/>
    <s v="Low Sale"/>
    <s v="Jennifer Taylor"/>
    <n v="9799.73"/>
  </r>
  <r>
    <s v="TRX0063"/>
    <x v="15"/>
    <s v="CUST030"/>
    <s v="Helen Roberts"/>
    <s v="P005"/>
    <x v="1"/>
    <s v="Appliances"/>
    <n v="2"/>
    <n v="59.99"/>
    <s v="Debit Card"/>
    <x v="0"/>
    <x v="2"/>
    <d v="2023-10-15T00:00:00"/>
    <x v="3"/>
    <s v="May"/>
    <n v="2024"/>
    <n v="887"/>
    <x v="1"/>
    <x v="0"/>
    <s v="Low Sale"/>
    <s v="Harry Morgan"/>
    <n v="6459.79"/>
  </r>
  <r>
    <s v="TRX0241"/>
    <x v="16"/>
    <s v="CUST029"/>
    <s v="Edward Mitchell"/>
    <s v="P005"/>
    <x v="1"/>
    <s v="Appliances"/>
    <n v="4"/>
    <n v="59.99"/>
    <s v="Debit Card"/>
    <x v="4"/>
    <x v="2"/>
    <d v="2022-11-02T00:00:00"/>
    <x v="20"/>
    <s v="May"/>
    <n v="2024"/>
    <n v="1234"/>
    <x v="1"/>
    <x v="0"/>
    <s v="Low Sale"/>
    <s v="Daniel King"/>
    <n v="11919.77"/>
  </r>
  <r>
    <s v="TRX0029"/>
    <x v="16"/>
    <s v="CUST017"/>
    <s v="Charles Allen"/>
    <s v="P006"/>
    <x v="9"/>
    <s v="Furniture"/>
    <n v="5"/>
    <n v="199.99"/>
    <s v="Cash"/>
    <x v="1"/>
    <x v="2"/>
    <d v="2021-08-04T00:00:00"/>
    <x v="21"/>
    <s v="May"/>
    <n v="2024"/>
    <n v="1689"/>
    <x v="1"/>
    <x v="0"/>
    <s v="Low Sale"/>
    <s v="Sharon Butler"/>
    <n v="5089.7299999999996"/>
  </r>
  <r>
    <s v="TRX0194"/>
    <x v="17"/>
    <s v="CUST006"/>
    <s v="Lisa Anderson"/>
    <s v="P008"/>
    <x v="2"/>
    <s v="Furniture"/>
    <n v="2"/>
    <n v="149.99"/>
    <s v="Credit Card"/>
    <x v="3"/>
    <x v="0"/>
    <d v="2022-09-19T00:00:00"/>
    <x v="22"/>
    <s v="May"/>
    <n v="2024"/>
    <n v="1278"/>
    <x v="1"/>
    <x v="0"/>
    <s v="Low Sale"/>
    <s v="Sarah Davis"/>
    <n v="2039.8"/>
  </r>
  <r>
    <s v="TRX0130"/>
    <x v="18"/>
    <s v="CUST002"/>
    <s v="Emma Wilson"/>
    <s v="P008"/>
    <x v="2"/>
    <s v="Furniture"/>
    <n v="3"/>
    <n v="149.99"/>
    <s v="Credit Card"/>
    <x v="3"/>
    <x v="1"/>
    <d v="2023-05-22T00:00:00"/>
    <x v="6"/>
    <s v="May"/>
    <n v="2024"/>
    <n v="1033"/>
    <x v="1"/>
    <x v="0"/>
    <s v="Low Sale"/>
    <s v="Betty Campbell"/>
    <n v="1229.8800000000001"/>
  </r>
  <r>
    <s v="TRX0041"/>
    <x v="19"/>
    <s v="CUST021"/>
    <s v="Kevin Scott"/>
    <s v="P001"/>
    <x v="4"/>
    <s v="Electronics"/>
    <n v="1"/>
    <n v="899.99"/>
    <s v="Credit Card"/>
    <x v="3"/>
    <x v="1"/>
    <d v="2022-01-17T00:00:00"/>
    <x v="8"/>
    <s v="May"/>
    <n v="2024"/>
    <n v="1523"/>
    <x v="1"/>
    <x v="0"/>
    <s v="Low Sale"/>
    <s v="Julie Foster"/>
    <n v="3259.87"/>
  </r>
  <r>
    <s v="TRX0232"/>
    <x v="20"/>
    <s v="CUST012"/>
    <s v="Patricia Moore"/>
    <s v="P007"/>
    <x v="6"/>
    <s v="Furniture"/>
    <n v="3"/>
    <n v="299.99"/>
    <s v="Credit Card"/>
    <x v="4"/>
    <x v="0"/>
    <d v="2022-09-20T00:00:00"/>
    <x v="23"/>
    <s v="May"/>
    <n v="2024"/>
    <n v="1277"/>
    <x v="1"/>
    <x v="0"/>
    <s v="Low Sale"/>
    <s v="Raymond Ross"/>
    <n v="9799.73"/>
  </r>
  <r>
    <s v="TRX0021"/>
    <x v="21"/>
    <s v="CUST006"/>
    <s v="Lisa Anderson"/>
    <s v="P004"/>
    <x v="7"/>
    <s v="Appliances"/>
    <n v="3"/>
    <n v="79.989999999999995"/>
    <s v="Cash"/>
    <x v="1"/>
    <x v="0"/>
    <d v="2023-04-30T00:00:00"/>
    <x v="18"/>
    <s v="May"/>
    <n v="2024"/>
    <n v="1055"/>
    <x v="1"/>
    <x v="0"/>
    <s v="Low Sale"/>
    <s v="David Martinez"/>
    <n v="2039.8"/>
  </r>
  <r>
    <s v="TRX0245"/>
    <x v="22"/>
    <s v="CUST031"/>
    <s v="Steven Turner"/>
    <s v="P006"/>
    <x v="9"/>
    <s v="Furniture"/>
    <n v="3"/>
    <n v="199.99"/>
    <s v="Credit Card"/>
    <x v="2"/>
    <x v="1"/>
    <d v="2024-01-01T00:00:00"/>
    <x v="24"/>
    <s v="May"/>
    <n v="2024"/>
    <n v="809"/>
    <x v="1"/>
    <x v="0"/>
    <s v="Low Sale"/>
    <s v="Margaret Wright"/>
    <n v="2649.83"/>
  </r>
  <r>
    <s v="TRX0015"/>
    <x v="23"/>
    <s v="CUST008"/>
    <s v="Jennifer Taylor"/>
    <s v="P002"/>
    <x v="5"/>
    <s v="Electronics"/>
    <n v="5"/>
    <n v="699.99"/>
    <s v="PayPal"/>
    <x v="3"/>
    <x v="2"/>
    <d v="2021-07-30T00:00:00"/>
    <x v="12"/>
    <s v="May"/>
    <n v="2024"/>
    <n v="1694"/>
    <x v="1"/>
    <x v="0"/>
    <s v="High Sale"/>
    <s v="Frank Torres"/>
    <n v="4739.8500000000004"/>
  </r>
  <r>
    <s v="TRX0202"/>
    <x v="24"/>
    <s v="CUST035"/>
    <s v="Harry Morgan"/>
    <s v="P010"/>
    <x v="8"/>
    <s v="Electronics"/>
    <n v="3"/>
    <n v="89.99"/>
    <s v="PayPal"/>
    <x v="0"/>
    <x v="1"/>
    <d v="2023-07-13T00:00:00"/>
    <x v="25"/>
    <s v="May"/>
    <n v="2024"/>
    <n v="981"/>
    <x v="1"/>
    <x v="0"/>
    <s v="Low Sale"/>
    <s v="Gerald Murphy"/>
    <n v="5519.8899999999994"/>
  </r>
  <r>
    <s v="TRX0042"/>
    <x v="25"/>
    <s v="CUST019"/>
    <s v="Daniel King"/>
    <s v="P004"/>
    <x v="7"/>
    <s v="Appliances"/>
    <n v="1"/>
    <n v="79.989999999999995"/>
    <s v="Cash"/>
    <x v="2"/>
    <x v="2"/>
    <d v="2022-12-22T00:00:00"/>
    <x v="26"/>
    <s v="May"/>
    <n v="2024"/>
    <n v="1184"/>
    <x v="1"/>
    <x v="0"/>
    <s v="Low Sale"/>
    <s v="Elizabeth Hall"/>
    <n v="7309.7999999999993"/>
  </r>
  <r>
    <s v="TRX0128"/>
    <x v="26"/>
    <s v="CUST040"/>
    <s v="Sharon Butler"/>
    <s v="P005"/>
    <x v="1"/>
    <s v="Appliances"/>
    <n v="2"/>
    <n v="59.99"/>
    <s v="Cash"/>
    <x v="3"/>
    <x v="0"/>
    <d v="2024-04-08T00:00:00"/>
    <x v="3"/>
    <s v="Jun"/>
    <n v="2024"/>
    <n v="711"/>
    <x v="2"/>
    <x v="0"/>
    <s v="Low Sale"/>
    <s v="Lawrence Reed"/>
    <n v="5619.869999999999"/>
  </r>
  <r>
    <s v="TRX0117"/>
    <x v="26"/>
    <s v="CUST017"/>
    <s v="Charles Allen"/>
    <s v="P010"/>
    <x v="8"/>
    <s v="Electronics"/>
    <n v="1"/>
    <n v="89.99"/>
    <s v="Cash"/>
    <x v="2"/>
    <x v="0"/>
    <d v="2023-08-03T00:00:00"/>
    <x v="27"/>
    <s v="Jun"/>
    <n v="2024"/>
    <n v="960"/>
    <x v="2"/>
    <x v="0"/>
    <s v="Low Sale"/>
    <s v="Carol Evans"/>
    <n v="5089.7299999999996"/>
  </r>
  <r>
    <s v="TRX0208"/>
    <x v="27"/>
    <s v="CUST004"/>
    <s v="Sarah Davis"/>
    <s v="P010"/>
    <x v="8"/>
    <s v="Electronics"/>
    <n v="5"/>
    <n v="89.99"/>
    <s v="Credit Card"/>
    <x v="4"/>
    <x v="2"/>
    <d v="2022-01-26T00:00:00"/>
    <x v="19"/>
    <s v="Jun"/>
    <n v="2024"/>
    <n v="1514"/>
    <x v="2"/>
    <x v="0"/>
    <s v="Low Sale"/>
    <s v="Sandra Phillips"/>
    <n v="5499.8099999999986"/>
  </r>
  <r>
    <s v="TRX0234"/>
    <x v="28"/>
    <s v="CUST013"/>
    <s v="Joseph Jackson"/>
    <s v="P009"/>
    <x v="0"/>
    <s v="Electronics"/>
    <n v="5"/>
    <n v="249.99"/>
    <s v="Credit Card"/>
    <x v="4"/>
    <x v="2"/>
    <d v="2022-05-26T00:00:00"/>
    <x v="16"/>
    <s v="Jun"/>
    <n v="2024"/>
    <n v="1394"/>
    <x v="2"/>
    <x v="0"/>
    <s v="High Sale"/>
    <s v="Ruth Brooks"/>
    <n v="6949.84"/>
  </r>
  <r>
    <s v="TRX0121"/>
    <x v="28"/>
    <s v="CUST028"/>
    <s v="Betty Campbell"/>
    <s v="P010"/>
    <x v="8"/>
    <s v="Electronics"/>
    <n v="1"/>
    <n v="89.99"/>
    <s v="Credit Card"/>
    <x v="1"/>
    <x v="2"/>
    <d v="2022-01-21T00:00:00"/>
    <x v="27"/>
    <s v="Jun"/>
    <n v="2024"/>
    <n v="1519"/>
    <x v="2"/>
    <x v="0"/>
    <s v="Low Sale"/>
    <s v="William White"/>
    <n v="5649.84"/>
  </r>
  <r>
    <s v="TRX0220"/>
    <x v="29"/>
    <s v="CUST003"/>
    <s v="Michael Brown"/>
    <s v="P008"/>
    <x v="2"/>
    <s v="Furniture"/>
    <n v="2"/>
    <n v="149.99"/>
    <s v="Cash"/>
    <x v="4"/>
    <x v="1"/>
    <d v="2022-03-25T00:00:00"/>
    <x v="22"/>
    <s v="Jun"/>
    <n v="2024"/>
    <n v="1456"/>
    <x v="2"/>
    <x v="0"/>
    <s v="Low Sale"/>
    <s v="Richard Lee"/>
    <n v="6169.7400000000007"/>
  </r>
  <r>
    <s v="TRX0093"/>
    <x v="30"/>
    <s v="CUST050"/>
    <s v="Julie Foster"/>
    <s v="P005"/>
    <x v="1"/>
    <s v="Appliances"/>
    <n v="4"/>
    <n v="59.99"/>
    <s v="Cash"/>
    <x v="4"/>
    <x v="2"/>
    <d v="2021-08-27T00:00:00"/>
    <x v="20"/>
    <s v="Jun"/>
    <n v="2024"/>
    <n v="1666"/>
    <x v="2"/>
    <x v="0"/>
    <s v="Low Sale"/>
    <s v="Douglas Watson"/>
    <n v="239.96"/>
  </r>
  <r>
    <s v="TRX0088"/>
    <x v="31"/>
    <s v="CUST006"/>
    <s v="Lisa Anderson"/>
    <s v="P010"/>
    <x v="8"/>
    <s v="Electronics"/>
    <n v="5"/>
    <n v="89.99"/>
    <s v="Cash"/>
    <x v="0"/>
    <x v="1"/>
    <d v="2022-01-18T00:00:00"/>
    <x v="19"/>
    <s v="Jun"/>
    <n v="2024"/>
    <n v="1522"/>
    <x v="2"/>
    <x v="0"/>
    <s v="Low Sale"/>
    <s v="James Johnson"/>
    <n v="2039.8"/>
  </r>
  <r>
    <s v="TRX0115"/>
    <x v="32"/>
    <s v="CUST012"/>
    <s v="Patricia Moore"/>
    <s v="P010"/>
    <x v="8"/>
    <s v="Electronics"/>
    <n v="2"/>
    <n v="89.99"/>
    <s v="Credit Card"/>
    <x v="1"/>
    <x v="1"/>
    <d v="2021-10-02T00:00:00"/>
    <x v="28"/>
    <s v="Jun"/>
    <n v="2024"/>
    <n v="1630"/>
    <x v="2"/>
    <x v="0"/>
    <s v="Low Sale"/>
    <s v="Arthur Edwards"/>
    <n v="9799.73"/>
  </r>
  <r>
    <s v="TRX0154"/>
    <x v="32"/>
    <s v="CUST023"/>
    <s v="Paul Baker"/>
    <s v="P001"/>
    <x v="4"/>
    <s v="Electronics"/>
    <n v="5"/>
    <n v="899.99"/>
    <s v="Credit Card"/>
    <x v="1"/>
    <x v="2"/>
    <d v="2023-02-17T00:00:00"/>
    <x v="29"/>
    <s v="Jun"/>
    <n v="2024"/>
    <n v="1127"/>
    <x v="2"/>
    <x v="0"/>
    <s v="High Sale"/>
    <s v="John Smith"/>
    <n v="8309.739999999998"/>
  </r>
  <r>
    <s v="TRX0044"/>
    <x v="32"/>
    <s v="CUST029"/>
    <s v="Edward Mitchell"/>
    <s v="P001"/>
    <x v="4"/>
    <s v="Electronics"/>
    <n v="5"/>
    <n v="899.99"/>
    <s v="PayPal"/>
    <x v="4"/>
    <x v="1"/>
    <d v="2023-12-18T00:00:00"/>
    <x v="29"/>
    <s v="Jun"/>
    <n v="2024"/>
    <n v="823"/>
    <x v="2"/>
    <x v="0"/>
    <s v="High Sale"/>
    <m/>
    <n v="11919.77"/>
  </r>
  <r>
    <s v="TRX0061"/>
    <x v="33"/>
    <s v="CUST028"/>
    <s v="Betty Campbell"/>
    <s v="P005"/>
    <x v="1"/>
    <s v="Appliances"/>
    <n v="1"/>
    <n v="59.99"/>
    <s v="Debit Card"/>
    <x v="3"/>
    <x v="1"/>
    <d v="2023-09-21T00:00:00"/>
    <x v="30"/>
    <s v="Jun"/>
    <n v="2024"/>
    <n v="911"/>
    <x v="2"/>
    <x v="0"/>
    <s v="Low Sale"/>
    <m/>
    <n v="5649.84"/>
  </r>
  <r>
    <s v="TRX0150"/>
    <x v="33"/>
    <s v="CUST008"/>
    <s v="Jennifer Taylor"/>
    <s v="P007"/>
    <x v="6"/>
    <s v="Furniture"/>
    <n v="2"/>
    <n v="299.99"/>
    <s v="Debit Card"/>
    <x v="4"/>
    <x v="2"/>
    <d v="2023-11-23T00:00:00"/>
    <x v="31"/>
    <s v="Jun"/>
    <n v="2024"/>
    <n v="848"/>
    <x v="2"/>
    <x v="0"/>
    <s v="Low Sale"/>
    <m/>
    <n v="4739.8500000000004"/>
  </r>
  <r>
    <s v="TRX0025"/>
    <x v="34"/>
    <s v="CUST049"/>
    <s v="Raymond Ross"/>
    <s v="P010"/>
    <x v="8"/>
    <s v="Electronics"/>
    <n v="4"/>
    <n v="89.99"/>
    <s v="Debit Card"/>
    <x v="1"/>
    <x v="0"/>
    <d v="2023-12-21T00:00:00"/>
    <x v="32"/>
    <s v="Jun"/>
    <n v="2024"/>
    <n v="820"/>
    <x v="2"/>
    <x v="0"/>
    <s v="Low Sale"/>
    <m/>
    <n v="3669.85"/>
  </r>
  <r>
    <s v="TRX0078"/>
    <x v="35"/>
    <s v="CUST021"/>
    <s v="Kevin Scott"/>
    <s v="P004"/>
    <x v="7"/>
    <s v="Appliances"/>
    <n v="1"/>
    <n v="79.989999999999995"/>
    <s v="PayPal"/>
    <x v="0"/>
    <x v="1"/>
    <d v="2024-03-01T00:00:00"/>
    <x v="26"/>
    <s v="Jun"/>
    <n v="2024"/>
    <n v="749"/>
    <x v="2"/>
    <x v="0"/>
    <s v="Low Sale"/>
    <m/>
    <n v="3259.87"/>
  </r>
  <r>
    <s v="TRX0007"/>
    <x v="35"/>
    <s v="CUST009"/>
    <s v="Robert Thomas"/>
    <s v="P010"/>
    <x v="8"/>
    <s v="Electronics"/>
    <n v="2"/>
    <n v="89.99"/>
    <s v="Cash"/>
    <x v="3"/>
    <x v="0"/>
    <d v="2021-08-30T00:00:00"/>
    <x v="28"/>
    <s v="Jun"/>
    <n v="2024"/>
    <n v="1663"/>
    <x v="2"/>
    <x v="0"/>
    <s v="Low Sale"/>
    <m/>
    <n v="3509.9"/>
  </r>
  <r>
    <s v="TRX0184"/>
    <x v="36"/>
    <s v="CUST046"/>
    <s v="Kathleen Bennett"/>
    <s v="P002"/>
    <x v="5"/>
    <s v="Electronics"/>
    <n v="3"/>
    <n v="699.99"/>
    <s v="Credit Card"/>
    <x v="4"/>
    <x v="1"/>
    <d v="2023-06-25T00:00:00"/>
    <x v="7"/>
    <s v="Jun"/>
    <n v="2024"/>
    <n v="999"/>
    <x v="2"/>
    <x v="0"/>
    <s v="High Sale"/>
    <m/>
    <n v="4309.8099999999986"/>
  </r>
  <r>
    <s v="TRX0104"/>
    <x v="36"/>
    <s v="CUST012"/>
    <s v="Patricia Moore"/>
    <s v="P001"/>
    <x v="4"/>
    <s v="Electronics"/>
    <n v="4"/>
    <n v="899.99"/>
    <s v="Credit Card"/>
    <x v="4"/>
    <x v="1"/>
    <d v="2023-03-08T00:00:00"/>
    <x v="11"/>
    <s v="Jun"/>
    <n v="2024"/>
    <n v="1108"/>
    <x v="2"/>
    <x v="0"/>
    <s v="High Sale"/>
    <m/>
    <n v="9799.73"/>
  </r>
  <r>
    <s v="TRX0127"/>
    <x v="37"/>
    <s v="CUST030"/>
    <s v="Helen Roberts"/>
    <s v="P008"/>
    <x v="2"/>
    <s v="Furniture"/>
    <n v="1"/>
    <n v="149.99"/>
    <s v="PayPal"/>
    <x v="4"/>
    <x v="0"/>
    <d v="2022-10-17T00:00:00"/>
    <x v="5"/>
    <s v="Jun"/>
    <n v="2024"/>
    <n v="1250"/>
    <x v="2"/>
    <x v="0"/>
    <s v="Low Sale"/>
    <m/>
    <n v="6459.79"/>
  </r>
  <r>
    <s v="TRX0096"/>
    <x v="38"/>
    <s v="CUST002"/>
    <s v="Emma Wilson"/>
    <s v="P010"/>
    <x v="8"/>
    <s v="Electronics"/>
    <n v="2"/>
    <n v="89.99"/>
    <s v="PayPal"/>
    <x v="0"/>
    <x v="1"/>
    <d v="2023-12-15T00:00:00"/>
    <x v="28"/>
    <s v="Jul"/>
    <n v="2024"/>
    <n v="826"/>
    <x v="3"/>
    <x v="0"/>
    <s v="Low Sale"/>
    <m/>
    <n v="1229.8800000000001"/>
  </r>
  <r>
    <s v="TRX0192"/>
    <x v="39"/>
    <s v="CUST017"/>
    <s v="Charles Allen"/>
    <s v="P010"/>
    <x v="8"/>
    <s v="Electronics"/>
    <n v="1"/>
    <n v="89.99"/>
    <s v="PayPal"/>
    <x v="3"/>
    <x v="2"/>
    <d v="2022-08-29T00:00:00"/>
    <x v="27"/>
    <s v="Jul"/>
    <n v="2024"/>
    <n v="1299"/>
    <x v="3"/>
    <x v="0"/>
    <s v="Low Sale"/>
    <m/>
    <n v="5089.7299999999996"/>
  </r>
  <r>
    <s v="TRX0052"/>
    <x v="40"/>
    <s v="CUST022"/>
    <s v="Susan Green"/>
    <s v="P010"/>
    <x v="8"/>
    <s v="Electronics"/>
    <n v="1"/>
    <n v="89.99"/>
    <s v="Cash"/>
    <x v="1"/>
    <x v="2"/>
    <d v="2022-02-19T00:00:00"/>
    <x v="27"/>
    <s v="Jul"/>
    <n v="2024"/>
    <n v="1490"/>
    <x v="3"/>
    <x v="0"/>
    <s v="Low Sale"/>
    <m/>
    <n v="1979.89"/>
  </r>
  <r>
    <s v="TRX0070"/>
    <x v="40"/>
    <s v="CUST007"/>
    <s v="David Martinez"/>
    <s v="P004"/>
    <x v="7"/>
    <s v="Appliances"/>
    <n v="5"/>
    <n v="79.989999999999995"/>
    <s v="Debit Card"/>
    <x v="0"/>
    <x v="0"/>
    <d v="2023-02-24T00:00:00"/>
    <x v="33"/>
    <s v="Jul"/>
    <n v="2024"/>
    <n v="1120"/>
    <x v="3"/>
    <x v="0"/>
    <s v="Low Sale"/>
    <m/>
    <n v="1809.84"/>
  </r>
  <r>
    <s v="TRX0086"/>
    <x v="41"/>
    <s v="CUST020"/>
    <s v="Margaret Wright"/>
    <s v="P008"/>
    <x v="2"/>
    <s v="Furniture"/>
    <n v="1"/>
    <n v="149.99"/>
    <s v="PayPal"/>
    <x v="2"/>
    <x v="0"/>
    <d v="2021-08-13T00:00:00"/>
    <x v="5"/>
    <s v="Jul"/>
    <n v="2024"/>
    <n v="1680"/>
    <x v="3"/>
    <x v="0"/>
    <s v="Low Sale"/>
    <m/>
    <n v="2099.88"/>
  </r>
  <r>
    <s v="TRX0113"/>
    <x v="41"/>
    <s v="CUST003"/>
    <s v="Michael Brown"/>
    <s v="P002"/>
    <x v="5"/>
    <s v="Electronics"/>
    <n v="2"/>
    <n v="699.99"/>
    <s v="PayPal"/>
    <x v="4"/>
    <x v="1"/>
    <d v="2024-04-07T00:00:00"/>
    <x v="10"/>
    <s v="Jul"/>
    <n v="2024"/>
    <n v="712"/>
    <x v="3"/>
    <x v="0"/>
    <s v="High Sale"/>
    <m/>
    <n v="6169.7400000000007"/>
  </r>
  <r>
    <s v="TRX0114"/>
    <x v="41"/>
    <s v="CUST018"/>
    <s v="Barbara Young"/>
    <s v="P010"/>
    <x v="8"/>
    <s v="Electronics"/>
    <n v="5"/>
    <n v="89.99"/>
    <s v="Debit Card"/>
    <x v="2"/>
    <x v="1"/>
    <d v="2023-08-23T00:00:00"/>
    <x v="19"/>
    <s v="Jul"/>
    <n v="2024"/>
    <n v="940"/>
    <x v="3"/>
    <x v="0"/>
    <s v="Low Sale"/>
    <m/>
    <n v="10649.8"/>
  </r>
  <r>
    <s v="TRX0136"/>
    <x v="42"/>
    <s v="CUST049"/>
    <s v="Raymond Ross"/>
    <s v="P005"/>
    <x v="1"/>
    <s v="Appliances"/>
    <n v="4"/>
    <n v="59.99"/>
    <s v="Cash"/>
    <x v="1"/>
    <x v="2"/>
    <d v="2021-11-09T00:00:00"/>
    <x v="20"/>
    <s v="Jul"/>
    <n v="2024"/>
    <n v="1592"/>
    <x v="3"/>
    <x v="0"/>
    <s v="Low Sale"/>
    <m/>
    <n v="3669.85"/>
  </r>
  <r>
    <s v="TRX0018"/>
    <x v="43"/>
    <s v="CUST013"/>
    <s v="Joseph Jackson"/>
    <s v="P003"/>
    <x v="3"/>
    <s v="Electronics"/>
    <n v="1"/>
    <n v="149.99"/>
    <s v="Cash"/>
    <x v="0"/>
    <x v="2"/>
    <d v="2022-12-14T00:00:00"/>
    <x v="5"/>
    <s v="Jul"/>
    <n v="2024"/>
    <n v="1192"/>
    <x v="3"/>
    <x v="0"/>
    <s v="Low Sale"/>
    <m/>
    <n v="6949.84"/>
  </r>
  <r>
    <s v="TRX0141"/>
    <x v="43"/>
    <s v="CUST033"/>
    <s v="Frank Torres"/>
    <s v="P007"/>
    <x v="6"/>
    <s v="Furniture"/>
    <n v="1"/>
    <n v="299.99"/>
    <s v="Credit Card"/>
    <x v="2"/>
    <x v="1"/>
    <d v="2022-11-26T00:00:00"/>
    <x v="34"/>
    <s v="Jul"/>
    <n v="2024"/>
    <n v="1210"/>
    <x v="3"/>
    <x v="0"/>
    <s v="Low Sale"/>
    <m/>
    <n v="1479.91"/>
  </r>
  <r>
    <s v="TRX0097"/>
    <x v="44"/>
    <s v="CUST033"/>
    <s v="Frank Torres"/>
    <s v="P006"/>
    <x v="9"/>
    <s v="Furniture"/>
    <n v="2"/>
    <n v="199.99"/>
    <s v="Cash"/>
    <x v="2"/>
    <x v="0"/>
    <d v="2021-12-11T00:00:00"/>
    <x v="35"/>
    <s v="Jul"/>
    <n v="2024"/>
    <n v="1560"/>
    <x v="3"/>
    <x v="0"/>
    <s v="Low Sale"/>
    <m/>
    <n v="1479.91"/>
  </r>
  <r>
    <s v="TRX0169"/>
    <x v="45"/>
    <s v="CUST047"/>
    <s v="Gerald Murphy"/>
    <s v="P005"/>
    <x v="1"/>
    <s v="Appliances"/>
    <n v="3"/>
    <n v="59.99"/>
    <s v="Credit Card"/>
    <x v="3"/>
    <x v="0"/>
    <d v="2023-07-23T00:00:00"/>
    <x v="1"/>
    <s v="Jul"/>
    <n v="2024"/>
    <n v="971"/>
    <x v="3"/>
    <x v="0"/>
    <s v="Low Sale"/>
    <m/>
    <n v="6379.87"/>
  </r>
  <r>
    <s v="TRX0216"/>
    <x v="45"/>
    <s v="CUST041"/>
    <s v="Peter Richardson"/>
    <s v="P008"/>
    <x v="2"/>
    <s v="Furniture"/>
    <n v="3"/>
    <n v="149.99"/>
    <s v="Cash"/>
    <x v="0"/>
    <x v="1"/>
    <d v="2023-09-30T00:00:00"/>
    <x v="6"/>
    <s v="Jul"/>
    <n v="2024"/>
    <n v="902"/>
    <x v="3"/>
    <x v="0"/>
    <s v="Low Sale"/>
    <m/>
    <n v="5949.85"/>
  </r>
  <r>
    <s v="TRX0131"/>
    <x v="46"/>
    <s v="CUST026"/>
    <s v="Karen Hill"/>
    <s v="P006"/>
    <x v="9"/>
    <s v="Furniture"/>
    <n v="3"/>
    <n v="199.99"/>
    <s v="Cash"/>
    <x v="2"/>
    <x v="1"/>
    <d v="2023-11-24T00:00:00"/>
    <x v="24"/>
    <s v="Jul"/>
    <n v="2024"/>
    <n v="847"/>
    <x v="3"/>
    <x v="0"/>
    <s v="Low Sale"/>
    <m/>
    <n v="8009.77"/>
  </r>
  <r>
    <s v="TRX0162"/>
    <x v="47"/>
    <s v="CUST040"/>
    <s v="Sharon Butler"/>
    <s v="P001"/>
    <x v="4"/>
    <s v="Electronics"/>
    <n v="1"/>
    <n v="899.99"/>
    <s v="Cash"/>
    <x v="0"/>
    <x v="2"/>
    <d v="2023-09-10T00:00:00"/>
    <x v="8"/>
    <s v="Jul"/>
    <n v="2024"/>
    <n v="922"/>
    <x v="3"/>
    <x v="0"/>
    <s v="Low Sale"/>
    <m/>
    <n v="5619.869999999999"/>
  </r>
  <r>
    <s v="TRX0244"/>
    <x v="48"/>
    <s v="CUST013"/>
    <s v="Joseph Jackson"/>
    <s v="P001"/>
    <x v="4"/>
    <s v="Electronics"/>
    <n v="5"/>
    <n v="899.99"/>
    <s v="Debit Card"/>
    <x v="1"/>
    <x v="2"/>
    <d v="2022-12-04T00:00:00"/>
    <x v="29"/>
    <s v="Jul"/>
    <n v="2024"/>
    <n v="1202"/>
    <x v="3"/>
    <x v="0"/>
    <s v="High Sale"/>
    <m/>
    <n v="6949.84"/>
  </r>
  <r>
    <s v="TRX0006"/>
    <x v="49"/>
    <s v="CUST007"/>
    <s v="David Martinez"/>
    <s v="P005"/>
    <x v="1"/>
    <s v="Appliances"/>
    <n v="2"/>
    <n v="59.99"/>
    <s v="Cash"/>
    <x v="2"/>
    <x v="2"/>
    <d v="2023-08-14T00:00:00"/>
    <x v="3"/>
    <s v="Jul"/>
    <n v="2024"/>
    <n v="949"/>
    <x v="3"/>
    <x v="0"/>
    <s v="Low Sale"/>
    <m/>
    <n v="1809.84"/>
  </r>
  <r>
    <s v="TRX0215"/>
    <x v="49"/>
    <s v="CUST047"/>
    <s v="Gerald Murphy"/>
    <s v="P009"/>
    <x v="0"/>
    <s v="Electronics"/>
    <n v="4"/>
    <n v="249.99"/>
    <s v="Debit Card"/>
    <x v="0"/>
    <x v="2"/>
    <d v="2023-07-20T00:00:00"/>
    <x v="14"/>
    <s v="Jul"/>
    <n v="2024"/>
    <n v="974"/>
    <x v="3"/>
    <x v="0"/>
    <s v="Low Sale"/>
    <m/>
    <n v="6379.87"/>
  </r>
  <r>
    <s v="TRX0080"/>
    <x v="50"/>
    <s v="CUST018"/>
    <s v="Barbara Young"/>
    <s v="P009"/>
    <x v="0"/>
    <s v="Electronics"/>
    <n v="2"/>
    <n v="249.99"/>
    <s v="Cash"/>
    <x v="2"/>
    <x v="1"/>
    <d v="2023-08-26T00:00:00"/>
    <x v="36"/>
    <s v="Jul"/>
    <n v="2024"/>
    <n v="937"/>
    <x v="3"/>
    <x v="0"/>
    <s v="Low Sale"/>
    <m/>
    <n v="10649.8"/>
  </r>
  <r>
    <s v="TRX0228"/>
    <x v="50"/>
    <s v="CUST019"/>
    <s v="Daniel King"/>
    <s v="P007"/>
    <x v="6"/>
    <s v="Furniture"/>
    <n v="1"/>
    <n v="299.99"/>
    <s v="Cash"/>
    <x v="1"/>
    <x v="0"/>
    <d v="2023-02-25T00:00:00"/>
    <x v="34"/>
    <s v="Jul"/>
    <n v="2024"/>
    <n v="1119"/>
    <x v="3"/>
    <x v="0"/>
    <s v="Low Sale"/>
    <m/>
    <n v="7309.7999999999993"/>
  </r>
  <r>
    <s v="TRX0157"/>
    <x v="51"/>
    <s v="CUST025"/>
    <s v="Mark Carter"/>
    <s v="P010"/>
    <x v="8"/>
    <s v="Electronics"/>
    <n v="2"/>
    <n v="89.99"/>
    <s v="PayPal"/>
    <x v="1"/>
    <x v="0"/>
    <d v="2023-02-19T00:00:00"/>
    <x v="28"/>
    <s v="Jul"/>
    <n v="2024"/>
    <n v="1125"/>
    <x v="3"/>
    <x v="0"/>
    <s v="Low Sale"/>
    <m/>
    <n v="15659.65"/>
  </r>
  <r>
    <s v="TRX0002"/>
    <x v="51"/>
    <s v="CUST019"/>
    <s v="Daniel King"/>
    <s v="P007"/>
    <x v="6"/>
    <s v="Furniture"/>
    <n v="3"/>
    <n v="299.99"/>
    <s v="Cash"/>
    <x v="0"/>
    <x v="0"/>
    <d v="2022-06-20T00:00:00"/>
    <x v="23"/>
    <s v="Jul"/>
    <n v="2024"/>
    <n v="1369"/>
    <x v="3"/>
    <x v="0"/>
    <s v="Low Sale"/>
    <m/>
    <n v="7309.7999999999993"/>
  </r>
  <r>
    <s v="TRX0217"/>
    <x v="52"/>
    <s v="CUST025"/>
    <s v="Mark Carter"/>
    <s v="P002"/>
    <x v="5"/>
    <s v="Electronics"/>
    <n v="2"/>
    <n v="699.99"/>
    <s v="Credit Card"/>
    <x v="2"/>
    <x v="1"/>
    <d v="2023-03-14T00:00:00"/>
    <x v="10"/>
    <s v="Jul"/>
    <n v="2024"/>
    <n v="1102"/>
    <x v="3"/>
    <x v="0"/>
    <s v="High Sale"/>
    <m/>
    <n v="15659.65"/>
  </r>
  <r>
    <s v="TRX0249"/>
    <x v="53"/>
    <s v="CUST030"/>
    <s v="Helen Roberts"/>
    <s v="P001"/>
    <x v="4"/>
    <s v="Electronics"/>
    <n v="4"/>
    <n v="899.99"/>
    <s v="Debit Card"/>
    <x v="1"/>
    <x v="2"/>
    <d v="2021-11-23T00:00:00"/>
    <x v="11"/>
    <s v="Jul"/>
    <n v="2024"/>
    <n v="1578"/>
    <x v="3"/>
    <x v="0"/>
    <s v="High Sale"/>
    <m/>
    <n v="6459.79"/>
  </r>
  <r>
    <s v="TRX0065"/>
    <x v="54"/>
    <s v="CUST016"/>
    <s v="Elizabeth Hall"/>
    <s v="P008"/>
    <x v="2"/>
    <s v="Furniture"/>
    <n v="2"/>
    <n v="149.99"/>
    <s v="Credit Card"/>
    <x v="3"/>
    <x v="0"/>
    <d v="2021-12-12T00:00:00"/>
    <x v="22"/>
    <s v="Aug"/>
    <n v="2024"/>
    <n v="1559"/>
    <x v="4"/>
    <x v="0"/>
    <s v="Low Sale"/>
    <m/>
    <n v="3649.86"/>
  </r>
  <r>
    <s v="TRX0176"/>
    <x v="55"/>
    <s v="CUST044"/>
    <s v="Cynthia Price"/>
    <s v="P008"/>
    <x v="2"/>
    <s v="Furniture"/>
    <n v="2"/>
    <n v="149.99"/>
    <s v="Debit Card"/>
    <x v="4"/>
    <x v="2"/>
    <d v="2022-04-16T00:00:00"/>
    <x v="22"/>
    <s v="Aug"/>
    <n v="2024"/>
    <n v="1434"/>
    <x v="4"/>
    <x v="0"/>
    <s v="Low Sale"/>
    <m/>
    <n v="3769.83"/>
  </r>
  <r>
    <s v="TRX0101"/>
    <x v="56"/>
    <s v="CUST010"/>
    <s v="Maria Garcia"/>
    <s v="P010"/>
    <x v="8"/>
    <s v="Electronics"/>
    <n v="1"/>
    <n v="89.99"/>
    <s v="Credit Card"/>
    <x v="2"/>
    <x v="2"/>
    <d v="2024-04-11T00:00:00"/>
    <x v="27"/>
    <s v="Aug"/>
    <n v="2024"/>
    <n v="708"/>
    <x v="4"/>
    <x v="0"/>
    <s v="Low Sale"/>
    <m/>
    <n v="1909.93"/>
  </r>
  <r>
    <s v="TRX0205"/>
    <x v="57"/>
    <s v="CUST025"/>
    <s v="Mark Carter"/>
    <s v="P007"/>
    <x v="6"/>
    <s v="Furniture"/>
    <n v="5"/>
    <n v="299.99"/>
    <s v="Credit Card"/>
    <x v="2"/>
    <x v="0"/>
    <d v="2023-02-08T00:00:00"/>
    <x v="17"/>
    <s v="Aug"/>
    <n v="2024"/>
    <n v="1136"/>
    <x v="4"/>
    <x v="0"/>
    <s v="High Sale"/>
    <m/>
    <n v="15659.65"/>
  </r>
  <r>
    <s v="TRX0020"/>
    <x v="58"/>
    <s v="CUST007"/>
    <s v="David Martinez"/>
    <s v="P003"/>
    <x v="3"/>
    <s v="Electronics"/>
    <n v="4"/>
    <n v="149.99"/>
    <s v="Debit Card"/>
    <x v="1"/>
    <x v="1"/>
    <d v="2022-09-16T00:00:00"/>
    <x v="9"/>
    <s v="Aug"/>
    <n v="2024"/>
    <n v="1281"/>
    <x v="4"/>
    <x v="0"/>
    <s v="Low Sale"/>
    <m/>
    <n v="1809.84"/>
  </r>
  <r>
    <s v="TRX0075"/>
    <x v="58"/>
    <s v="CUST020"/>
    <s v="Margaret Wright"/>
    <s v="P009"/>
    <x v="0"/>
    <s v="Electronics"/>
    <n v="5"/>
    <n v="249.99"/>
    <s v="PayPal"/>
    <x v="4"/>
    <x v="1"/>
    <d v="2022-08-09T00:00:00"/>
    <x v="16"/>
    <s v="Aug"/>
    <n v="2024"/>
    <n v="1319"/>
    <x v="4"/>
    <x v="0"/>
    <s v="High Sale"/>
    <m/>
    <n v="2099.88"/>
  </r>
  <r>
    <s v="TRX0098"/>
    <x v="58"/>
    <s v="CUST026"/>
    <s v="Karen Hill"/>
    <s v="P009"/>
    <x v="0"/>
    <s v="Electronics"/>
    <n v="3"/>
    <n v="249.99"/>
    <s v="PayPal"/>
    <x v="2"/>
    <x v="1"/>
    <d v="2021-09-26T00:00:00"/>
    <x v="0"/>
    <s v="Aug"/>
    <n v="2024"/>
    <n v="1636"/>
    <x v="4"/>
    <x v="0"/>
    <s v="Low Sale"/>
    <m/>
    <n v="8009.77"/>
  </r>
  <r>
    <s v="TRX0247"/>
    <x v="58"/>
    <s v="CUST046"/>
    <s v="Kathleen Bennett"/>
    <s v="P006"/>
    <x v="9"/>
    <s v="Furniture"/>
    <n v="4"/>
    <n v="199.99"/>
    <s v="Cash"/>
    <x v="2"/>
    <x v="2"/>
    <d v="2021-09-19T00:00:00"/>
    <x v="37"/>
    <s v="Aug"/>
    <n v="2024"/>
    <n v="1643"/>
    <x v="4"/>
    <x v="0"/>
    <s v="Low Sale"/>
    <m/>
    <n v="4309.8099999999986"/>
  </r>
  <r>
    <s v="TRX0027"/>
    <x v="59"/>
    <s v="CUST028"/>
    <s v="Betty Campbell"/>
    <s v="P006"/>
    <x v="9"/>
    <s v="Furniture"/>
    <n v="5"/>
    <n v="199.99"/>
    <s v="Cash"/>
    <x v="2"/>
    <x v="1"/>
    <d v="2023-03-06T00:00:00"/>
    <x v="21"/>
    <s v="Aug"/>
    <n v="2024"/>
    <n v="1110"/>
    <x v="4"/>
    <x v="0"/>
    <s v="Low Sale"/>
    <m/>
    <n v="5649.84"/>
  </r>
  <r>
    <s v="TRX0140"/>
    <x v="60"/>
    <s v="CUST025"/>
    <s v="Mark Carter"/>
    <s v="P010"/>
    <x v="8"/>
    <s v="Electronics"/>
    <n v="2"/>
    <n v="89.99"/>
    <s v="Cash"/>
    <x v="4"/>
    <x v="1"/>
    <d v="2023-02-15T00:00:00"/>
    <x v="28"/>
    <s v="Aug"/>
    <n v="2024"/>
    <n v="1129"/>
    <x v="4"/>
    <x v="0"/>
    <s v="Low Sale"/>
    <m/>
    <n v="15659.65"/>
  </r>
  <r>
    <s v="TRX0132"/>
    <x v="61"/>
    <s v="CUST047"/>
    <s v="Gerald Murphy"/>
    <s v="P001"/>
    <x v="4"/>
    <s v="Electronics"/>
    <n v="5"/>
    <n v="899.99"/>
    <s v="Debit Card"/>
    <x v="4"/>
    <x v="0"/>
    <d v="2021-11-26T00:00:00"/>
    <x v="29"/>
    <s v="Aug"/>
    <n v="2024"/>
    <n v="1575"/>
    <x v="4"/>
    <x v="0"/>
    <s v="High Sale"/>
    <m/>
    <n v="6379.87"/>
  </r>
  <r>
    <s v="TRX0031"/>
    <x v="61"/>
    <s v="CUST036"/>
    <s v="Nancy Collins"/>
    <s v="P003"/>
    <x v="3"/>
    <s v="Electronics"/>
    <n v="3"/>
    <n v="149.99"/>
    <s v="PayPal"/>
    <x v="4"/>
    <x v="0"/>
    <d v="2022-01-13T00:00:00"/>
    <x v="6"/>
    <s v="Aug"/>
    <n v="2024"/>
    <n v="1527"/>
    <x v="4"/>
    <x v="0"/>
    <s v="Low Sale"/>
    <m/>
    <n v="4189.7700000000004"/>
  </r>
  <r>
    <s v="TRX0236"/>
    <x v="62"/>
    <s v="CUST044"/>
    <s v="Cynthia Price"/>
    <s v="P008"/>
    <x v="2"/>
    <s v="Furniture"/>
    <n v="5"/>
    <n v="149.99"/>
    <s v="Credit Card"/>
    <x v="0"/>
    <x v="0"/>
    <d v="2024-01-19T00:00:00"/>
    <x v="2"/>
    <s v="Aug"/>
    <n v="2024"/>
    <n v="791"/>
    <x v="4"/>
    <x v="0"/>
    <s v="Low Sale"/>
    <m/>
    <n v="3769.83"/>
  </r>
  <r>
    <s v="TRX0001"/>
    <x v="63"/>
    <s v="CUST039"/>
    <s v="Lawrence Reed"/>
    <s v="P004"/>
    <x v="7"/>
    <s v="Appliances"/>
    <n v="3"/>
    <n v="79.989999999999995"/>
    <s v="Cash"/>
    <x v="0"/>
    <x v="1"/>
    <d v="2022-08-06T00:00:00"/>
    <x v="18"/>
    <s v="Aug"/>
    <n v="2024"/>
    <n v="1322"/>
    <x v="4"/>
    <x v="0"/>
    <s v="Low Sale"/>
    <m/>
    <n v="6989.7699999999986"/>
  </r>
  <r>
    <s v="TRX0037"/>
    <x v="63"/>
    <s v="CUST035"/>
    <s v="Harry Morgan"/>
    <s v="P009"/>
    <x v="0"/>
    <s v="Electronics"/>
    <n v="2"/>
    <n v="249.99"/>
    <s v="Cash"/>
    <x v="1"/>
    <x v="2"/>
    <d v="2022-01-11T00:00:00"/>
    <x v="36"/>
    <s v="Aug"/>
    <n v="2024"/>
    <n v="1529"/>
    <x v="4"/>
    <x v="0"/>
    <s v="Low Sale"/>
    <m/>
    <n v="5519.8899999999994"/>
  </r>
  <r>
    <s v="TRX0058"/>
    <x v="64"/>
    <s v="CUST047"/>
    <s v="Gerald Murphy"/>
    <s v="P002"/>
    <x v="5"/>
    <s v="Electronics"/>
    <n v="1"/>
    <n v="699.99"/>
    <s v="Cash"/>
    <x v="0"/>
    <x v="1"/>
    <d v="2021-10-28T00:00:00"/>
    <x v="38"/>
    <s v="Aug"/>
    <n v="2024"/>
    <n v="1604"/>
    <x v="4"/>
    <x v="0"/>
    <s v="Low Sale"/>
    <m/>
    <n v="6379.87"/>
  </r>
  <r>
    <s v="TRX0170"/>
    <x v="64"/>
    <s v="CUST034"/>
    <s v="Carol Evans"/>
    <s v="P003"/>
    <x v="3"/>
    <s v="Electronics"/>
    <n v="3"/>
    <n v="149.99"/>
    <s v="Cash"/>
    <x v="3"/>
    <x v="1"/>
    <d v="2023-10-13T00:00:00"/>
    <x v="6"/>
    <s v="Aug"/>
    <n v="2024"/>
    <n v="889"/>
    <x v="4"/>
    <x v="0"/>
    <s v="Low Sale"/>
    <m/>
    <n v="1149.93"/>
  </r>
  <r>
    <s v="TRX0248"/>
    <x v="65"/>
    <s v="CUST032"/>
    <s v="Sandra Phillips"/>
    <s v="P002"/>
    <x v="5"/>
    <s v="Electronics"/>
    <n v="2"/>
    <n v="699.99"/>
    <s v="Credit Card"/>
    <x v="2"/>
    <x v="1"/>
    <d v="2021-08-13T00:00:00"/>
    <x v="10"/>
    <s v="Aug"/>
    <n v="2024"/>
    <n v="1680"/>
    <x v="4"/>
    <x v="0"/>
    <s v="High Sale"/>
    <m/>
    <n v="6349.83"/>
  </r>
  <r>
    <s v="TRX0099"/>
    <x v="66"/>
    <s v="CUST034"/>
    <s v="Carol Evans"/>
    <s v="P009"/>
    <x v="0"/>
    <s v="Electronics"/>
    <n v="1"/>
    <n v="249.99"/>
    <s v="Credit Card"/>
    <x v="3"/>
    <x v="1"/>
    <d v="2022-05-04T00:00:00"/>
    <x v="39"/>
    <s v="Sep"/>
    <n v="2024"/>
    <n v="1416"/>
    <x v="5"/>
    <x v="0"/>
    <s v="Low Sale"/>
    <m/>
    <n v="1149.93"/>
  </r>
  <r>
    <s v="TRX0074"/>
    <x v="66"/>
    <s v="CUST023"/>
    <s v="Paul Baker"/>
    <s v="P009"/>
    <x v="0"/>
    <s v="Electronics"/>
    <n v="1"/>
    <n v="249.99"/>
    <s v="Debit Card"/>
    <x v="2"/>
    <x v="1"/>
    <d v="2024-02-10T00:00:00"/>
    <x v="39"/>
    <s v="Sep"/>
    <n v="2024"/>
    <n v="769"/>
    <x v="5"/>
    <x v="0"/>
    <s v="Low Sale"/>
    <m/>
    <n v="8309.739999999998"/>
  </r>
  <r>
    <s v="TRX0225"/>
    <x v="67"/>
    <s v="CUST039"/>
    <s v="Lawrence Reed"/>
    <s v="P002"/>
    <x v="5"/>
    <s v="Electronics"/>
    <n v="2"/>
    <n v="699.99"/>
    <s v="Debit Card"/>
    <x v="0"/>
    <x v="1"/>
    <d v="2022-11-05T00:00:00"/>
    <x v="10"/>
    <s v="Sep"/>
    <n v="2024"/>
    <n v="1231"/>
    <x v="5"/>
    <x v="0"/>
    <s v="High Sale"/>
    <m/>
    <n v="6989.7699999999986"/>
  </r>
  <r>
    <s v="TRX0100"/>
    <x v="68"/>
    <s v="CUST031"/>
    <s v="Steven Turner"/>
    <s v="P005"/>
    <x v="1"/>
    <s v="Appliances"/>
    <n v="3"/>
    <n v="59.99"/>
    <s v="Credit Card"/>
    <x v="0"/>
    <x v="1"/>
    <d v="2022-06-05T00:00:00"/>
    <x v="1"/>
    <s v="Sep"/>
    <n v="2024"/>
    <n v="1384"/>
    <x v="5"/>
    <x v="0"/>
    <s v="Low Sale"/>
    <m/>
    <n v="2649.83"/>
  </r>
  <r>
    <s v="TRX0142"/>
    <x v="69"/>
    <s v="CUST002"/>
    <s v="Emma Wilson"/>
    <s v="P005"/>
    <x v="1"/>
    <s v="Appliances"/>
    <n v="3"/>
    <n v="59.99"/>
    <s v="PayPal"/>
    <x v="4"/>
    <x v="2"/>
    <d v="2022-07-06T00:00:00"/>
    <x v="1"/>
    <s v="Sep"/>
    <n v="2024"/>
    <n v="1353"/>
    <x v="5"/>
    <x v="0"/>
    <s v="Low Sale"/>
    <m/>
    <n v="1229.8800000000001"/>
  </r>
  <r>
    <s v="TRX0112"/>
    <x v="69"/>
    <s v="CUST008"/>
    <s v="Jennifer Taylor"/>
    <s v="P004"/>
    <x v="7"/>
    <s v="Appliances"/>
    <n v="4"/>
    <n v="79.989999999999995"/>
    <s v="Cash"/>
    <x v="2"/>
    <x v="0"/>
    <d v="2021-11-30T00:00:00"/>
    <x v="40"/>
    <s v="Sep"/>
    <n v="2024"/>
    <n v="1571"/>
    <x v="5"/>
    <x v="0"/>
    <s v="Low Sale"/>
    <m/>
    <n v="4739.8500000000004"/>
  </r>
  <r>
    <s v="TRX0161"/>
    <x v="70"/>
    <s v="CUST017"/>
    <s v="Charles Allen"/>
    <s v="P004"/>
    <x v="7"/>
    <s v="Appliances"/>
    <n v="1"/>
    <n v="79.989999999999995"/>
    <s v="Cash"/>
    <x v="3"/>
    <x v="0"/>
    <d v="2022-05-12T00:00:00"/>
    <x v="26"/>
    <s v="Sep"/>
    <n v="2024"/>
    <n v="1408"/>
    <x v="5"/>
    <x v="0"/>
    <s v="Low Sale"/>
    <m/>
    <n v="5089.7299999999996"/>
  </r>
  <r>
    <s v="TRX0108"/>
    <x v="71"/>
    <s v="CUST024"/>
    <s v="Dorothy Nelson"/>
    <s v="P007"/>
    <x v="6"/>
    <s v="Furniture"/>
    <n v="3"/>
    <n v="299.99"/>
    <s v="Credit Card"/>
    <x v="0"/>
    <x v="1"/>
    <d v="2021-10-25T00:00:00"/>
    <x v="23"/>
    <s v="Sep"/>
    <n v="2024"/>
    <n v="1607"/>
    <x v="5"/>
    <x v="0"/>
    <s v="Low Sale"/>
    <m/>
    <n v="8269.7900000000009"/>
  </r>
  <r>
    <s v="TRX0211"/>
    <x v="72"/>
    <s v="CUST046"/>
    <s v="Kathleen Bennett"/>
    <s v="P010"/>
    <x v="8"/>
    <s v="Electronics"/>
    <n v="2"/>
    <n v="89.99"/>
    <s v="Credit Card"/>
    <x v="1"/>
    <x v="1"/>
    <d v="2022-03-21T00:00:00"/>
    <x v="28"/>
    <s v="Sep"/>
    <n v="2024"/>
    <n v="1460"/>
    <x v="5"/>
    <x v="0"/>
    <s v="Low Sale"/>
    <m/>
    <n v="4309.8099999999986"/>
  </r>
  <r>
    <s v="TRX0005"/>
    <x v="73"/>
    <s v="CUST042"/>
    <s v="Ruth Brooks"/>
    <s v="P003"/>
    <x v="3"/>
    <s v="Electronics"/>
    <n v="4"/>
    <n v="149.99"/>
    <s v="Cash"/>
    <x v="2"/>
    <x v="0"/>
    <d v="2022-12-14T00:00:00"/>
    <x v="9"/>
    <s v="Sep"/>
    <n v="2024"/>
    <n v="1192"/>
    <x v="5"/>
    <x v="0"/>
    <s v="Low Sale"/>
    <m/>
    <n v="1749.92"/>
  </r>
  <r>
    <s v="TRX0195"/>
    <x v="74"/>
    <s v="CUST026"/>
    <s v="Karen Hill"/>
    <s v="P009"/>
    <x v="0"/>
    <s v="Electronics"/>
    <n v="2"/>
    <n v="249.99"/>
    <s v="PayPal"/>
    <x v="1"/>
    <x v="0"/>
    <d v="2023-03-08T00:00:00"/>
    <x v="36"/>
    <s v="Sep"/>
    <n v="2024"/>
    <n v="1108"/>
    <x v="5"/>
    <x v="0"/>
    <s v="Low Sale"/>
    <m/>
    <n v="8009.77"/>
  </r>
  <r>
    <s v="TRX0054"/>
    <x v="74"/>
    <s v="CUST004"/>
    <s v="Sarah Davis"/>
    <s v="P006"/>
    <x v="9"/>
    <s v="Furniture"/>
    <n v="4"/>
    <n v="199.99"/>
    <s v="Debit Card"/>
    <x v="4"/>
    <x v="0"/>
    <d v="2021-09-19T00:00:00"/>
    <x v="37"/>
    <s v="Sep"/>
    <n v="2024"/>
    <n v="1643"/>
    <x v="5"/>
    <x v="0"/>
    <s v="Low Sale"/>
    <m/>
    <n v="5499.8099999999986"/>
  </r>
  <r>
    <s v="TRX0077"/>
    <x v="75"/>
    <s v="CUST019"/>
    <s v="Daniel King"/>
    <s v="P010"/>
    <x v="8"/>
    <s v="Electronics"/>
    <n v="5"/>
    <n v="89.99"/>
    <s v="Credit Card"/>
    <x v="4"/>
    <x v="1"/>
    <d v="2021-09-07T00:00:00"/>
    <x v="19"/>
    <s v="Sep"/>
    <n v="2024"/>
    <n v="1655"/>
    <x v="5"/>
    <x v="0"/>
    <s v="Low Sale"/>
    <m/>
    <n v="7309.7999999999993"/>
  </r>
  <r>
    <s v="TRX0111"/>
    <x v="75"/>
    <s v="CUST011"/>
    <s v="William White"/>
    <s v="P003"/>
    <x v="3"/>
    <s v="Electronics"/>
    <n v="1"/>
    <n v="149.99"/>
    <s v="PayPal"/>
    <x v="4"/>
    <x v="2"/>
    <d v="2021-10-13T00:00:00"/>
    <x v="5"/>
    <s v="Sep"/>
    <n v="2024"/>
    <n v="1619"/>
    <x v="5"/>
    <x v="0"/>
    <s v="Low Sale"/>
    <m/>
    <n v="4749.91"/>
  </r>
  <r>
    <s v="TRX0123"/>
    <x v="75"/>
    <s v="CUST041"/>
    <s v="Peter Richardson"/>
    <s v="P002"/>
    <x v="5"/>
    <s v="Electronics"/>
    <n v="4"/>
    <n v="699.99"/>
    <s v="PayPal"/>
    <x v="1"/>
    <x v="0"/>
    <d v="2022-02-26T00:00:00"/>
    <x v="13"/>
    <s v="Sep"/>
    <n v="2024"/>
    <n v="1483"/>
    <x v="5"/>
    <x v="0"/>
    <s v="High Sale"/>
    <m/>
    <n v="5949.85"/>
  </r>
  <r>
    <s v="TRX0177"/>
    <x v="76"/>
    <s v="CUST032"/>
    <s v="Sandra Phillips"/>
    <s v="P001"/>
    <x v="4"/>
    <s v="Electronics"/>
    <n v="3"/>
    <n v="899.99"/>
    <s v="Credit Card"/>
    <x v="2"/>
    <x v="2"/>
    <d v="2023-08-19T00:00:00"/>
    <x v="4"/>
    <s v="Sep"/>
    <n v="2024"/>
    <n v="944"/>
    <x v="5"/>
    <x v="0"/>
    <s v="High Sale"/>
    <m/>
    <n v="6349.83"/>
  </r>
  <r>
    <s v="TRX0119"/>
    <x v="77"/>
    <s v="CUST014"/>
    <s v="Linda Martin"/>
    <s v="P008"/>
    <x v="2"/>
    <s v="Furniture"/>
    <n v="3"/>
    <n v="149.99"/>
    <s v="PayPal"/>
    <x v="4"/>
    <x v="0"/>
    <d v="2022-11-21T00:00:00"/>
    <x v="6"/>
    <s v="Sep"/>
    <n v="2024"/>
    <n v="1215"/>
    <x v="5"/>
    <x v="0"/>
    <s v="Low Sale"/>
    <m/>
    <n v="1289.9000000000001"/>
  </r>
  <r>
    <s v="TRX0181"/>
    <x v="78"/>
    <s v="CUST012"/>
    <s v="Patricia Moore"/>
    <s v="P007"/>
    <x v="6"/>
    <s v="Furniture"/>
    <n v="2"/>
    <n v="299.99"/>
    <s v="Debit Card"/>
    <x v="0"/>
    <x v="0"/>
    <d v="2022-01-08T00:00:00"/>
    <x v="31"/>
    <s v="Sep"/>
    <n v="2024"/>
    <n v="1532"/>
    <x v="5"/>
    <x v="0"/>
    <s v="Low Sale"/>
    <m/>
    <n v="9799.73"/>
  </r>
  <r>
    <s v="TRX0129"/>
    <x v="79"/>
    <s v="CUST015"/>
    <s v="Richard Lee"/>
    <s v="P006"/>
    <x v="9"/>
    <s v="Furniture"/>
    <n v="1"/>
    <n v="199.99"/>
    <s v="Debit Card"/>
    <x v="4"/>
    <x v="2"/>
    <d v="2023-01-27T00:00:00"/>
    <x v="41"/>
    <s v="Sep"/>
    <n v="2024"/>
    <n v="1148"/>
    <x v="5"/>
    <x v="0"/>
    <s v="Low Sale"/>
    <m/>
    <n v="739.93000000000006"/>
  </r>
  <r>
    <s v="TRX0174"/>
    <x v="80"/>
    <s v="CUST003"/>
    <s v="Michael Brown"/>
    <s v="P007"/>
    <x v="6"/>
    <s v="Furniture"/>
    <n v="4"/>
    <n v="299.99"/>
    <s v="Cash"/>
    <x v="0"/>
    <x v="1"/>
    <d v="2021-09-21T00:00:00"/>
    <x v="15"/>
    <s v="Oct"/>
    <n v="2024"/>
    <n v="1641"/>
    <x v="6"/>
    <x v="0"/>
    <s v="High Sale"/>
    <m/>
    <n v="6169.7400000000007"/>
  </r>
  <r>
    <s v="TRX0146"/>
    <x v="81"/>
    <s v="CUST010"/>
    <s v="Maria Garcia"/>
    <s v="P005"/>
    <x v="1"/>
    <s v="Appliances"/>
    <n v="2"/>
    <n v="59.99"/>
    <s v="Credit Card"/>
    <x v="0"/>
    <x v="0"/>
    <d v="2022-01-18T00:00:00"/>
    <x v="3"/>
    <s v="Oct"/>
    <n v="2024"/>
    <n v="1522"/>
    <x v="6"/>
    <x v="0"/>
    <s v="Low Sale"/>
    <m/>
    <n v="1909.93"/>
  </r>
  <r>
    <s v="TRX0203"/>
    <x v="81"/>
    <s v="CUST032"/>
    <s v="Sandra Phillips"/>
    <s v="P003"/>
    <x v="3"/>
    <s v="Electronics"/>
    <n v="4"/>
    <n v="149.99"/>
    <s v="Credit Card"/>
    <x v="2"/>
    <x v="1"/>
    <d v="2023-05-30T00:00:00"/>
    <x v="9"/>
    <s v="Oct"/>
    <n v="2024"/>
    <n v="1025"/>
    <x v="6"/>
    <x v="0"/>
    <s v="Low Sale"/>
    <m/>
    <n v="6349.83"/>
  </r>
  <r>
    <s v="TRX0055"/>
    <x v="82"/>
    <s v="CUST016"/>
    <s v="Elizabeth Hall"/>
    <s v="P002"/>
    <x v="5"/>
    <s v="Electronics"/>
    <n v="2"/>
    <n v="699.99"/>
    <s v="Debit Card"/>
    <x v="4"/>
    <x v="1"/>
    <d v="2023-12-14T00:00:00"/>
    <x v="10"/>
    <s v="Oct"/>
    <n v="2024"/>
    <n v="827"/>
    <x v="6"/>
    <x v="0"/>
    <s v="High Sale"/>
    <m/>
    <n v="3649.86"/>
  </r>
  <r>
    <s v="TRX0218"/>
    <x v="82"/>
    <s v="CUST034"/>
    <s v="Carol Evans"/>
    <s v="P008"/>
    <x v="2"/>
    <s v="Furniture"/>
    <n v="3"/>
    <n v="149.99"/>
    <s v="Credit Card"/>
    <x v="1"/>
    <x v="2"/>
    <d v="2023-01-14T00:00:00"/>
    <x v="6"/>
    <s v="Oct"/>
    <n v="2024"/>
    <n v="1161"/>
    <x v="6"/>
    <x v="0"/>
    <s v="Low Sale"/>
    <m/>
    <n v="1149.93"/>
  </r>
  <r>
    <s v="TRX0085"/>
    <x v="83"/>
    <s v="CUST019"/>
    <s v="Daniel King"/>
    <s v="P007"/>
    <x v="6"/>
    <s v="Furniture"/>
    <n v="3"/>
    <n v="299.99"/>
    <s v="Credit Card"/>
    <x v="0"/>
    <x v="2"/>
    <d v="2023-09-05T00:00:00"/>
    <x v="23"/>
    <s v="Oct"/>
    <n v="2024"/>
    <n v="927"/>
    <x v="6"/>
    <x v="0"/>
    <s v="Low Sale"/>
    <m/>
    <n v="7309.7999999999993"/>
  </r>
  <r>
    <s v="TRX0158"/>
    <x v="84"/>
    <s v="CUST027"/>
    <s v="George Adams"/>
    <s v="P001"/>
    <x v="4"/>
    <s v="Electronics"/>
    <n v="3"/>
    <n v="899.99"/>
    <s v="PayPal"/>
    <x v="3"/>
    <x v="0"/>
    <d v="2023-10-16T00:00:00"/>
    <x v="4"/>
    <s v="Oct"/>
    <n v="2024"/>
    <n v="886"/>
    <x v="6"/>
    <x v="0"/>
    <s v="High Sale"/>
    <m/>
    <n v="3779.93"/>
  </r>
  <r>
    <s v="TRX0173"/>
    <x v="85"/>
    <s v="CUST018"/>
    <s v="Barbara Young"/>
    <s v="P002"/>
    <x v="5"/>
    <s v="Electronics"/>
    <n v="5"/>
    <n v="699.99"/>
    <s v="Cash"/>
    <x v="4"/>
    <x v="2"/>
    <d v="2023-03-23T00:00:00"/>
    <x v="12"/>
    <s v="Oct"/>
    <n v="2024"/>
    <n v="1093"/>
    <x v="6"/>
    <x v="0"/>
    <s v="High Sale"/>
    <m/>
    <n v="10649.8"/>
  </r>
  <r>
    <s v="TRX0034"/>
    <x v="85"/>
    <s v="CUST049"/>
    <s v="Raymond Ross"/>
    <s v="P002"/>
    <x v="5"/>
    <s v="Electronics"/>
    <n v="4"/>
    <n v="699.99"/>
    <s v="Credit Card"/>
    <x v="0"/>
    <x v="0"/>
    <d v="2024-04-03T00:00:00"/>
    <x v="13"/>
    <s v="Oct"/>
    <n v="2024"/>
    <n v="716"/>
    <x v="6"/>
    <x v="0"/>
    <s v="High Sale"/>
    <m/>
    <n v="3669.85"/>
  </r>
  <r>
    <s v="TRX0189"/>
    <x v="85"/>
    <s v="CUST040"/>
    <s v="Sharon Butler"/>
    <s v="P001"/>
    <x v="4"/>
    <s v="Electronics"/>
    <n v="1"/>
    <n v="899.99"/>
    <s v="Credit Card"/>
    <x v="4"/>
    <x v="2"/>
    <d v="2024-03-18T00:00:00"/>
    <x v="8"/>
    <s v="Oct"/>
    <n v="2024"/>
    <n v="732"/>
    <x v="6"/>
    <x v="0"/>
    <s v="Low Sale"/>
    <m/>
    <n v="5619.869999999999"/>
  </r>
  <r>
    <s v="TRX0190"/>
    <x v="86"/>
    <s v="CUST039"/>
    <s v="Lawrence Reed"/>
    <s v="P003"/>
    <x v="3"/>
    <s v="Electronics"/>
    <n v="2"/>
    <n v="149.99"/>
    <s v="Credit Card"/>
    <x v="3"/>
    <x v="0"/>
    <d v="2022-12-21T00:00:00"/>
    <x v="22"/>
    <s v="Oct"/>
    <n v="2024"/>
    <n v="1185"/>
    <x v="6"/>
    <x v="0"/>
    <s v="Low Sale"/>
    <m/>
    <n v="6989.7699999999986"/>
  </r>
  <r>
    <s v="TRX0079"/>
    <x v="87"/>
    <s v="CUST039"/>
    <s v="Lawrence Reed"/>
    <s v="P010"/>
    <x v="8"/>
    <s v="Electronics"/>
    <n v="3"/>
    <n v="89.99"/>
    <s v="PayPal"/>
    <x v="0"/>
    <x v="0"/>
    <d v="2021-12-21T00:00:00"/>
    <x v="25"/>
    <s v="Oct"/>
    <n v="2024"/>
    <n v="1550"/>
    <x v="6"/>
    <x v="0"/>
    <s v="Low Sale"/>
    <m/>
    <n v="6989.7699999999986"/>
  </r>
  <r>
    <s v="TRX0095"/>
    <x v="88"/>
    <s v="CUST046"/>
    <s v="Kathleen Bennett"/>
    <s v="P003"/>
    <x v="3"/>
    <s v="Electronics"/>
    <n v="2"/>
    <n v="149.99"/>
    <s v="PayPal"/>
    <x v="0"/>
    <x v="0"/>
    <d v="2021-10-04T00:00:00"/>
    <x v="22"/>
    <s v="Oct"/>
    <n v="2024"/>
    <n v="1628"/>
    <x v="6"/>
    <x v="0"/>
    <s v="Low Sale"/>
    <m/>
    <n v="4309.8099999999986"/>
  </r>
  <r>
    <s v="TRX0009"/>
    <x v="88"/>
    <s v="CUST004"/>
    <s v="Sarah Davis"/>
    <s v="P002"/>
    <x v="5"/>
    <s v="Electronics"/>
    <n v="2"/>
    <n v="699.99"/>
    <s v="Cash"/>
    <x v="0"/>
    <x v="0"/>
    <d v="2023-03-07T00:00:00"/>
    <x v="10"/>
    <s v="Oct"/>
    <n v="2024"/>
    <n v="1109"/>
    <x v="6"/>
    <x v="0"/>
    <s v="High Sale"/>
    <m/>
    <n v="5499.8099999999986"/>
  </r>
  <r>
    <s v="TRX0167"/>
    <x v="89"/>
    <s v="CUST028"/>
    <s v="Betty Campbell"/>
    <s v="P002"/>
    <x v="5"/>
    <s v="Electronics"/>
    <n v="5"/>
    <n v="699.99"/>
    <s v="Cash"/>
    <x v="2"/>
    <x v="1"/>
    <d v="2022-03-15T00:00:00"/>
    <x v="12"/>
    <s v="Oct"/>
    <n v="2024"/>
    <n v="1466"/>
    <x v="6"/>
    <x v="0"/>
    <s v="High Sale"/>
    <m/>
    <n v="5649.84"/>
  </r>
  <r>
    <s v="TRX0153"/>
    <x v="90"/>
    <s v="CUST049"/>
    <s v="Raymond Ross"/>
    <s v="P010"/>
    <x v="8"/>
    <s v="Electronics"/>
    <n v="3"/>
    <n v="89.99"/>
    <s v="Credit Card"/>
    <x v="2"/>
    <x v="2"/>
    <d v="2022-02-23T00:00:00"/>
    <x v="25"/>
    <s v="Oct"/>
    <n v="2024"/>
    <n v="1486"/>
    <x v="6"/>
    <x v="0"/>
    <s v="Low Sale"/>
    <m/>
    <n v="3669.85"/>
  </r>
  <r>
    <s v="TRX0057"/>
    <x v="91"/>
    <s v="CUST023"/>
    <s v="Paul Baker"/>
    <s v="P009"/>
    <x v="0"/>
    <s v="Electronics"/>
    <n v="5"/>
    <n v="249.99"/>
    <s v="Credit Card"/>
    <x v="1"/>
    <x v="2"/>
    <d v="2022-11-16T00:00:00"/>
    <x v="16"/>
    <s v="Nov"/>
    <n v="2024"/>
    <n v="1220"/>
    <x v="7"/>
    <x v="0"/>
    <s v="High Sale"/>
    <m/>
    <n v="8309.739999999998"/>
  </r>
  <r>
    <s v="TRX0017"/>
    <x v="92"/>
    <s v="CUST026"/>
    <s v="Karen Hill"/>
    <s v="P007"/>
    <x v="6"/>
    <s v="Furniture"/>
    <n v="3"/>
    <n v="299.99"/>
    <s v="Credit Card"/>
    <x v="1"/>
    <x v="2"/>
    <d v="2021-11-02T00:00:00"/>
    <x v="23"/>
    <s v="Nov"/>
    <n v="2024"/>
    <n v="1599"/>
    <x v="7"/>
    <x v="0"/>
    <s v="Low Sale"/>
    <m/>
    <n v="8009.77"/>
  </r>
  <r>
    <s v="TRX0060"/>
    <x v="93"/>
    <s v="CUST012"/>
    <s v="Patricia Moore"/>
    <s v="P010"/>
    <x v="8"/>
    <s v="Electronics"/>
    <n v="3"/>
    <n v="89.99"/>
    <s v="Credit Card"/>
    <x v="2"/>
    <x v="1"/>
    <d v="2021-08-12T00:00:00"/>
    <x v="25"/>
    <s v="Nov"/>
    <n v="2024"/>
    <n v="1681"/>
    <x v="7"/>
    <x v="0"/>
    <s v="Low Sale"/>
    <m/>
    <n v="9799.73"/>
  </r>
  <r>
    <s v="TRX0109"/>
    <x v="94"/>
    <s v="CUST010"/>
    <s v="Maria Garcia"/>
    <s v="P008"/>
    <x v="2"/>
    <s v="Furniture"/>
    <n v="2"/>
    <n v="149.99"/>
    <s v="Credit Card"/>
    <x v="3"/>
    <x v="1"/>
    <d v="2022-10-14T00:00:00"/>
    <x v="22"/>
    <s v="Nov"/>
    <n v="2024"/>
    <n v="1253"/>
    <x v="7"/>
    <x v="0"/>
    <s v="Low Sale"/>
    <m/>
    <n v="1909.93"/>
  </r>
  <r>
    <s v="TRX0090"/>
    <x v="95"/>
    <s v="CUST020"/>
    <s v="Margaret Wright"/>
    <s v="P009"/>
    <x v="0"/>
    <s v="Electronics"/>
    <n v="1"/>
    <n v="249.99"/>
    <s v="Credit Card"/>
    <x v="2"/>
    <x v="1"/>
    <d v="2022-09-24T00:00:00"/>
    <x v="39"/>
    <s v="Nov"/>
    <n v="2024"/>
    <n v="1273"/>
    <x v="7"/>
    <x v="0"/>
    <s v="Low Sale"/>
    <m/>
    <n v="2099.88"/>
  </r>
  <r>
    <s v="TRX0035"/>
    <x v="96"/>
    <s v="CUST041"/>
    <s v="Peter Richardson"/>
    <s v="P003"/>
    <x v="3"/>
    <s v="Electronics"/>
    <n v="3"/>
    <n v="149.99"/>
    <s v="Cash"/>
    <x v="2"/>
    <x v="0"/>
    <d v="2022-07-27T00:00:00"/>
    <x v="6"/>
    <s v="Nov"/>
    <n v="2024"/>
    <n v="1332"/>
    <x v="7"/>
    <x v="0"/>
    <s v="Low Sale"/>
    <m/>
    <n v="5949.85"/>
  </r>
  <r>
    <s v="TRX0172"/>
    <x v="96"/>
    <s v="CUST023"/>
    <s v="Paul Baker"/>
    <s v="P005"/>
    <x v="1"/>
    <s v="Appliances"/>
    <n v="5"/>
    <n v="59.99"/>
    <s v="PayPal"/>
    <x v="3"/>
    <x v="1"/>
    <d v="2022-05-13T00:00:00"/>
    <x v="42"/>
    <s v="Nov"/>
    <n v="2024"/>
    <n v="1407"/>
    <x v="7"/>
    <x v="0"/>
    <s v="Low Sale"/>
    <m/>
    <n v="8309.739999999998"/>
  </r>
  <r>
    <s v="TRX0076"/>
    <x v="96"/>
    <s v="CUST012"/>
    <s v="Patricia Moore"/>
    <s v="P009"/>
    <x v="0"/>
    <s v="Electronics"/>
    <n v="4"/>
    <n v="249.99"/>
    <s v="Credit Card"/>
    <x v="3"/>
    <x v="2"/>
    <d v="2022-04-08T00:00:00"/>
    <x v="14"/>
    <s v="Nov"/>
    <n v="2024"/>
    <n v="1442"/>
    <x v="7"/>
    <x v="0"/>
    <s v="Low Sale"/>
    <m/>
    <n v="9799.73"/>
  </r>
  <r>
    <s v="TRX0210"/>
    <x v="97"/>
    <s v="CUST004"/>
    <s v="Sarah Davis"/>
    <s v="P008"/>
    <x v="2"/>
    <s v="Furniture"/>
    <n v="5"/>
    <n v="149.99"/>
    <s v="PayPal"/>
    <x v="0"/>
    <x v="0"/>
    <d v="2022-12-06T00:00:00"/>
    <x v="2"/>
    <s v="Nov"/>
    <n v="2024"/>
    <n v="1200"/>
    <x v="7"/>
    <x v="0"/>
    <s v="Low Sale"/>
    <m/>
    <n v="5499.8099999999986"/>
  </r>
  <r>
    <s v="TRX0149"/>
    <x v="97"/>
    <s v="CUST027"/>
    <s v="George Adams"/>
    <s v="P005"/>
    <x v="1"/>
    <s v="Appliances"/>
    <n v="3"/>
    <n v="59.99"/>
    <s v="Debit Card"/>
    <x v="1"/>
    <x v="2"/>
    <d v="2023-11-30T00:00:00"/>
    <x v="1"/>
    <s v="Nov"/>
    <n v="2024"/>
    <n v="841"/>
    <x v="7"/>
    <x v="0"/>
    <s v="Low Sale"/>
    <m/>
    <n v="3779.93"/>
  </r>
  <r>
    <s v="TRX0073"/>
    <x v="98"/>
    <s v="CUST032"/>
    <s v="Sandra Phillips"/>
    <s v="P008"/>
    <x v="2"/>
    <s v="Furniture"/>
    <n v="5"/>
    <n v="149.99"/>
    <s v="Cash"/>
    <x v="2"/>
    <x v="0"/>
    <d v="2022-11-04T00:00:00"/>
    <x v="2"/>
    <s v="Nov"/>
    <n v="2024"/>
    <n v="1232"/>
    <x v="7"/>
    <x v="0"/>
    <s v="Low Sale"/>
    <m/>
    <n v="6349.83"/>
  </r>
  <r>
    <s v="TRX0033"/>
    <x v="98"/>
    <s v="CUST025"/>
    <s v="Mark Carter"/>
    <s v="P002"/>
    <x v="5"/>
    <s v="Electronics"/>
    <n v="2"/>
    <n v="699.99"/>
    <s v="PayPal"/>
    <x v="3"/>
    <x v="2"/>
    <d v="2022-07-28T00:00:00"/>
    <x v="10"/>
    <s v="Nov"/>
    <n v="2024"/>
    <n v="1331"/>
    <x v="7"/>
    <x v="0"/>
    <s v="High Sale"/>
    <m/>
    <n v="15659.65"/>
  </r>
  <r>
    <s v="TRX0160"/>
    <x v="99"/>
    <s v="CUST029"/>
    <s v="Edward Mitchell"/>
    <s v="P006"/>
    <x v="9"/>
    <s v="Furniture"/>
    <n v="4"/>
    <n v="199.99"/>
    <s v="Debit Card"/>
    <x v="0"/>
    <x v="1"/>
    <d v="2021-08-19T00:00:00"/>
    <x v="37"/>
    <s v="Nov"/>
    <n v="2024"/>
    <n v="1674"/>
    <x v="7"/>
    <x v="0"/>
    <s v="Low Sale"/>
    <m/>
    <n v="11919.77"/>
  </r>
  <r>
    <s v="TRX0145"/>
    <x v="100"/>
    <s v="CUST033"/>
    <s v="Frank Torres"/>
    <s v="P005"/>
    <x v="1"/>
    <s v="Appliances"/>
    <n v="1"/>
    <n v="59.99"/>
    <s v="Debit Card"/>
    <x v="3"/>
    <x v="2"/>
    <d v="2021-12-30T00:00:00"/>
    <x v="30"/>
    <s v="Nov"/>
    <n v="2024"/>
    <n v="1541"/>
    <x v="7"/>
    <x v="0"/>
    <s v="Low Sale"/>
    <m/>
    <n v="1479.91"/>
  </r>
  <r>
    <s v="TRX0148"/>
    <x v="100"/>
    <s v="CUST004"/>
    <s v="Sarah Davis"/>
    <s v="P002"/>
    <x v="5"/>
    <s v="Electronics"/>
    <n v="3"/>
    <n v="699.99"/>
    <s v="PayPal"/>
    <x v="3"/>
    <x v="2"/>
    <d v="2022-01-22T00:00:00"/>
    <x v="7"/>
    <s v="Nov"/>
    <n v="2024"/>
    <n v="1518"/>
    <x v="7"/>
    <x v="0"/>
    <s v="High Sale"/>
    <m/>
    <n v="5499.8099999999986"/>
  </r>
  <r>
    <s v="TRX0012"/>
    <x v="101"/>
    <s v="CUST045"/>
    <s v="Douglas Watson"/>
    <s v="P009"/>
    <x v="0"/>
    <s v="Electronics"/>
    <n v="5"/>
    <n v="249.99"/>
    <s v="Credit Card"/>
    <x v="2"/>
    <x v="0"/>
    <d v="2022-11-08T00:00:00"/>
    <x v="16"/>
    <s v="Nov"/>
    <n v="2024"/>
    <n v="1228"/>
    <x v="7"/>
    <x v="0"/>
    <s v="High Sale"/>
    <m/>
    <n v="4829.8899999999994"/>
  </r>
  <r>
    <s v="TRX0206"/>
    <x v="102"/>
    <s v="CUST014"/>
    <s v="Linda Martin"/>
    <s v="P008"/>
    <x v="2"/>
    <s v="Furniture"/>
    <n v="2"/>
    <n v="149.99"/>
    <s v="Cash"/>
    <x v="1"/>
    <x v="2"/>
    <d v="2023-06-24T00:00:00"/>
    <x v="22"/>
    <s v="Nov"/>
    <n v="2024"/>
    <n v="1000"/>
    <x v="7"/>
    <x v="0"/>
    <s v="Low Sale"/>
    <m/>
    <n v="1289.9000000000001"/>
  </r>
  <r>
    <s v="TRX0045"/>
    <x v="103"/>
    <s v="CUST021"/>
    <s v="Kevin Scott"/>
    <s v="P007"/>
    <x v="6"/>
    <s v="Furniture"/>
    <n v="3"/>
    <n v="299.99"/>
    <s v="Cash"/>
    <x v="1"/>
    <x v="1"/>
    <d v="2022-04-08T00:00:00"/>
    <x v="23"/>
    <s v="Dec"/>
    <n v="2024"/>
    <n v="1442"/>
    <x v="8"/>
    <x v="0"/>
    <s v="Low Sale"/>
    <m/>
    <n v="3259.87"/>
  </r>
  <r>
    <s v="TRX0094"/>
    <x v="103"/>
    <s v="CUST017"/>
    <s v="Charles Allen"/>
    <s v="P009"/>
    <x v="0"/>
    <s v="Electronics"/>
    <n v="5"/>
    <n v="249.99"/>
    <s v="Cash"/>
    <x v="0"/>
    <x v="1"/>
    <d v="2021-10-16T00:00:00"/>
    <x v="16"/>
    <s v="Dec"/>
    <n v="2024"/>
    <n v="1616"/>
    <x v="8"/>
    <x v="0"/>
    <s v="High Sale"/>
    <m/>
    <n v="5089.7299999999996"/>
  </r>
  <r>
    <s v="TRX0133"/>
    <x v="103"/>
    <s v="CUST013"/>
    <s v="Joseph Jackson"/>
    <s v="P003"/>
    <x v="3"/>
    <s v="Electronics"/>
    <n v="2"/>
    <n v="149.99"/>
    <s v="Cash"/>
    <x v="1"/>
    <x v="1"/>
    <d v="2021-10-06T00:00:00"/>
    <x v="22"/>
    <s v="Dec"/>
    <n v="2024"/>
    <n v="1626"/>
    <x v="8"/>
    <x v="0"/>
    <s v="Low Sale"/>
    <m/>
    <n v="6949.84"/>
  </r>
  <r>
    <s v="TRX0201"/>
    <x v="103"/>
    <s v="CUST025"/>
    <s v="Mark Carter"/>
    <s v="P002"/>
    <x v="5"/>
    <s v="Electronics"/>
    <n v="5"/>
    <n v="699.99"/>
    <s v="Debit Card"/>
    <x v="3"/>
    <x v="2"/>
    <d v="2023-01-18T00:00:00"/>
    <x v="12"/>
    <s v="Dec"/>
    <n v="2024"/>
    <n v="1157"/>
    <x v="8"/>
    <x v="0"/>
    <s v="High Sale"/>
    <m/>
    <n v="15659.65"/>
  </r>
  <r>
    <s v="TRX0137"/>
    <x v="104"/>
    <s v="CUST011"/>
    <s v="William White"/>
    <s v="P009"/>
    <x v="0"/>
    <s v="Electronics"/>
    <n v="4"/>
    <n v="249.99"/>
    <s v="PayPal"/>
    <x v="4"/>
    <x v="1"/>
    <d v="2023-06-21T00:00:00"/>
    <x v="14"/>
    <s v="Dec"/>
    <n v="2024"/>
    <n v="1003"/>
    <x v="8"/>
    <x v="0"/>
    <s v="Low Sale"/>
    <m/>
    <n v="4749.91"/>
  </r>
  <r>
    <s v="TRX0066"/>
    <x v="105"/>
    <s v="CUST024"/>
    <s v="Dorothy Nelson"/>
    <s v="P002"/>
    <x v="5"/>
    <s v="Electronics"/>
    <n v="4"/>
    <n v="699.99"/>
    <s v="Credit Card"/>
    <x v="2"/>
    <x v="1"/>
    <d v="2022-05-22T00:00:00"/>
    <x v="13"/>
    <s v="Dec"/>
    <n v="2024"/>
    <n v="1398"/>
    <x v="8"/>
    <x v="0"/>
    <s v="High Sale"/>
    <m/>
    <n v="8269.7900000000009"/>
  </r>
  <r>
    <s v="TRX0180"/>
    <x v="106"/>
    <s v="CUST036"/>
    <s v="Nancy Collins"/>
    <s v="P009"/>
    <x v="0"/>
    <s v="Electronics"/>
    <n v="2"/>
    <n v="249.99"/>
    <s v="Credit Card"/>
    <x v="0"/>
    <x v="1"/>
    <d v="2021-07-19T00:00:00"/>
    <x v="36"/>
    <s v="Dec"/>
    <n v="2024"/>
    <n v="1705"/>
    <x v="8"/>
    <x v="0"/>
    <s v="Low Sale"/>
    <m/>
    <n v="4189.7700000000004"/>
  </r>
  <r>
    <s v="TRX0082"/>
    <x v="106"/>
    <s v="CUST005"/>
    <s v="James Johnson"/>
    <s v="P005"/>
    <x v="1"/>
    <s v="Appliances"/>
    <n v="3"/>
    <n v="59.99"/>
    <s v="Cash"/>
    <x v="0"/>
    <x v="1"/>
    <d v="2023-05-06T00:00:00"/>
    <x v="1"/>
    <s v="Dec"/>
    <n v="2024"/>
    <n v="1049"/>
    <x v="8"/>
    <x v="0"/>
    <s v="Low Sale"/>
    <m/>
    <n v="179.97"/>
  </r>
  <r>
    <s v="TRX0036"/>
    <x v="106"/>
    <s v="CUST008"/>
    <s v="Jennifer Taylor"/>
    <s v="P004"/>
    <x v="7"/>
    <s v="Appliances"/>
    <n v="4"/>
    <n v="79.989999999999995"/>
    <s v="Debit Card"/>
    <x v="4"/>
    <x v="2"/>
    <d v="2022-12-26T00:00:00"/>
    <x v="40"/>
    <s v="Dec"/>
    <n v="2024"/>
    <n v="1180"/>
    <x v="8"/>
    <x v="0"/>
    <s v="Low Sale"/>
    <m/>
    <n v="4739.8500000000004"/>
  </r>
  <r>
    <s v="TRX0198"/>
    <x v="107"/>
    <s v="CUST030"/>
    <s v="Helen Roberts"/>
    <s v="P004"/>
    <x v="7"/>
    <s v="Appliances"/>
    <n v="3"/>
    <n v="79.989999999999995"/>
    <s v="Debit Card"/>
    <x v="4"/>
    <x v="2"/>
    <d v="2022-08-06T00:00:00"/>
    <x v="18"/>
    <s v="Dec"/>
    <n v="2024"/>
    <n v="1322"/>
    <x v="8"/>
    <x v="0"/>
    <s v="Low Sale"/>
    <m/>
    <n v="6459.79"/>
  </r>
  <r>
    <s v="TRX0032"/>
    <x v="108"/>
    <s v="CUST041"/>
    <s v="Peter Richardson"/>
    <s v="P001"/>
    <x v="4"/>
    <s v="Electronics"/>
    <n v="2"/>
    <n v="899.99"/>
    <s v="Cash"/>
    <x v="2"/>
    <x v="0"/>
    <d v="2021-07-29T00:00:00"/>
    <x v="43"/>
    <s v="Dec"/>
    <n v="2024"/>
    <n v="1695"/>
    <x v="8"/>
    <x v="0"/>
    <s v="High Sale"/>
    <m/>
    <n v="5949.85"/>
  </r>
  <r>
    <s v="TRX0081"/>
    <x v="109"/>
    <s v="CUST007"/>
    <s v="David Martinez"/>
    <s v="P008"/>
    <x v="2"/>
    <s v="Furniture"/>
    <n v="1"/>
    <n v="149.99"/>
    <s v="Debit Card"/>
    <x v="4"/>
    <x v="2"/>
    <d v="2023-10-01T00:00:00"/>
    <x v="5"/>
    <s v="Dec"/>
    <n v="2024"/>
    <n v="901"/>
    <x v="8"/>
    <x v="0"/>
    <s v="Low Sale"/>
    <m/>
    <n v="1809.84"/>
  </r>
  <r>
    <s v="TRX0224"/>
    <x v="109"/>
    <s v="CUST031"/>
    <s v="Steven Turner"/>
    <s v="P007"/>
    <x v="6"/>
    <s v="Furniture"/>
    <n v="2"/>
    <n v="299.99"/>
    <s v="Cash"/>
    <x v="4"/>
    <x v="1"/>
    <d v="2022-06-12T00:00:00"/>
    <x v="31"/>
    <s v="Dec"/>
    <n v="2024"/>
    <n v="1377"/>
    <x v="8"/>
    <x v="0"/>
    <s v="Low Sale"/>
    <m/>
    <n v="2649.83"/>
  </r>
  <r>
    <s v="TRX0028"/>
    <x v="110"/>
    <s v="CUST002"/>
    <s v="Emma Wilson"/>
    <s v="P005"/>
    <x v="1"/>
    <s v="Appliances"/>
    <n v="2"/>
    <n v="59.99"/>
    <s v="Cash"/>
    <x v="3"/>
    <x v="0"/>
    <d v="2023-09-22T00:00:00"/>
    <x v="3"/>
    <s v="Dec"/>
    <n v="2024"/>
    <n v="910"/>
    <x v="8"/>
    <x v="0"/>
    <s v="Low Sale"/>
    <m/>
    <n v="1229.8800000000001"/>
  </r>
  <r>
    <s v="TRX0183"/>
    <x v="111"/>
    <s v="CUST007"/>
    <s v="David Martinez"/>
    <s v="P010"/>
    <x v="8"/>
    <s v="Electronics"/>
    <n v="1"/>
    <n v="89.99"/>
    <s v="Debit Card"/>
    <x v="0"/>
    <x v="2"/>
    <d v="2022-07-18T00:00:00"/>
    <x v="27"/>
    <s v="Dec"/>
    <n v="2024"/>
    <n v="1341"/>
    <x v="8"/>
    <x v="0"/>
    <s v="Low Sale"/>
    <m/>
    <n v="1809.84"/>
  </r>
  <r>
    <s v="TRX0163"/>
    <x v="111"/>
    <s v="CUST019"/>
    <s v="Daniel King"/>
    <s v="P001"/>
    <x v="4"/>
    <s v="Electronics"/>
    <n v="5"/>
    <n v="899.99"/>
    <s v="Debit Card"/>
    <x v="4"/>
    <x v="2"/>
    <d v="2022-03-05T00:00:00"/>
    <x v="29"/>
    <s v="Dec"/>
    <n v="2024"/>
    <n v="1476"/>
    <x v="8"/>
    <x v="0"/>
    <s v="High Sale"/>
    <m/>
    <n v="7309.7999999999993"/>
  </r>
  <r>
    <s v="TRX0046"/>
    <x v="112"/>
    <s v="CUST003"/>
    <s v="Michael Brown"/>
    <s v="P008"/>
    <x v="2"/>
    <s v="Furniture"/>
    <n v="2"/>
    <n v="149.99"/>
    <s v="Cash"/>
    <x v="1"/>
    <x v="0"/>
    <d v="2023-11-09T00:00:00"/>
    <x v="22"/>
    <s v="Dec"/>
    <n v="2024"/>
    <n v="862"/>
    <x v="8"/>
    <x v="0"/>
    <s v="Low Sale"/>
    <m/>
    <n v="6169.7400000000007"/>
  </r>
  <r>
    <s v="TRX0164"/>
    <x v="113"/>
    <s v="CUST014"/>
    <s v="Linda Martin"/>
    <s v="P003"/>
    <x v="3"/>
    <s v="Electronics"/>
    <n v="2"/>
    <n v="149.99"/>
    <s v="Debit Card"/>
    <x v="3"/>
    <x v="1"/>
    <d v="2023-12-20T00:00:00"/>
    <x v="22"/>
    <s v="Dec"/>
    <n v="2024"/>
    <n v="821"/>
    <x v="8"/>
    <x v="0"/>
    <s v="Low Sale"/>
    <m/>
    <n v="1289.9000000000001"/>
  </r>
  <r>
    <s v="TRX0008"/>
    <x v="113"/>
    <s v="CUST007"/>
    <s v="David Martinez"/>
    <s v="P008"/>
    <x v="2"/>
    <s v="Furniture"/>
    <n v="3"/>
    <n v="149.99"/>
    <s v="Debit Card"/>
    <x v="2"/>
    <x v="2"/>
    <d v="2021-11-22T00:00:00"/>
    <x v="6"/>
    <s v="Dec"/>
    <n v="2024"/>
    <n v="1579"/>
    <x v="8"/>
    <x v="0"/>
    <s v="Low Sale"/>
    <m/>
    <n v="1809.84"/>
  </r>
  <r>
    <s v="TRX0171"/>
    <x v="114"/>
    <s v="CUST021"/>
    <s v="Kevin Scott"/>
    <s v="P007"/>
    <x v="6"/>
    <s v="Furniture"/>
    <n v="2"/>
    <n v="299.99"/>
    <s v="PayPal"/>
    <x v="1"/>
    <x v="0"/>
    <d v="2022-06-09T00:00:00"/>
    <x v="31"/>
    <s v="Dec"/>
    <n v="2024"/>
    <n v="1380"/>
    <x v="8"/>
    <x v="0"/>
    <s v="Low Sale"/>
    <m/>
    <n v="3259.87"/>
  </r>
  <r>
    <s v="TRX0143"/>
    <x v="115"/>
    <s v="CUST003"/>
    <s v="Michael Brown"/>
    <s v="P007"/>
    <x v="6"/>
    <s v="Furniture"/>
    <n v="2"/>
    <n v="299.99"/>
    <s v="Cash"/>
    <x v="3"/>
    <x v="0"/>
    <d v="2022-07-29T00:00:00"/>
    <x v="31"/>
    <s v="Dec"/>
    <n v="2024"/>
    <n v="1330"/>
    <x v="8"/>
    <x v="0"/>
    <s v="Low Sale"/>
    <m/>
    <n v="6169.7400000000007"/>
  </r>
  <r>
    <s v="TRX0165"/>
    <x v="115"/>
    <s v="CUST030"/>
    <s v="Helen Roberts"/>
    <s v="P006"/>
    <x v="9"/>
    <s v="Furniture"/>
    <n v="4"/>
    <n v="199.99"/>
    <s v="Credit Card"/>
    <x v="0"/>
    <x v="0"/>
    <d v="2021-11-23T00:00:00"/>
    <x v="37"/>
    <s v="Dec"/>
    <n v="2024"/>
    <n v="1578"/>
    <x v="8"/>
    <x v="0"/>
    <s v="Low Sale"/>
    <m/>
    <n v="6459.79"/>
  </r>
  <r>
    <s v="TRX0156"/>
    <x v="116"/>
    <s v="CUST009"/>
    <s v="Robert Thomas"/>
    <s v="P010"/>
    <x v="8"/>
    <s v="Electronics"/>
    <n v="1"/>
    <n v="89.99"/>
    <s v="Credit Card"/>
    <x v="1"/>
    <x v="1"/>
    <d v="2022-01-30T00:00:00"/>
    <x v="27"/>
    <s v="Dec"/>
    <n v="2024"/>
    <n v="1510"/>
    <x v="8"/>
    <x v="0"/>
    <s v="Low Sale"/>
    <m/>
    <n v="3509.9"/>
  </r>
  <r>
    <s v="TRX0147"/>
    <x v="116"/>
    <s v="CUST036"/>
    <s v="Nancy Collins"/>
    <s v="P008"/>
    <x v="2"/>
    <s v="Furniture"/>
    <n v="5"/>
    <n v="149.99"/>
    <s v="Cash"/>
    <x v="0"/>
    <x v="1"/>
    <d v="2024-02-25T00:00:00"/>
    <x v="2"/>
    <s v="Dec"/>
    <n v="2024"/>
    <n v="754"/>
    <x v="8"/>
    <x v="0"/>
    <s v="Low Sale"/>
    <m/>
    <n v="4189.7700000000004"/>
  </r>
  <r>
    <s v="TRX0207"/>
    <x v="117"/>
    <s v="CUST025"/>
    <s v="Mark Carter"/>
    <s v="P001"/>
    <x v="4"/>
    <s v="Electronics"/>
    <n v="1"/>
    <n v="899.99"/>
    <s v="PayPal"/>
    <x v="2"/>
    <x v="1"/>
    <d v="2023-05-04T00:00:00"/>
    <x v="8"/>
    <s v="Dec"/>
    <n v="2024"/>
    <n v="1051"/>
    <x v="8"/>
    <x v="0"/>
    <s v="Low Sale"/>
    <m/>
    <n v="15659.65"/>
  </r>
  <r>
    <s v="TRX0056"/>
    <x v="118"/>
    <s v="CUST019"/>
    <s v="Daniel King"/>
    <s v="P010"/>
    <x v="8"/>
    <s v="Electronics"/>
    <n v="2"/>
    <n v="89.99"/>
    <s v="Credit Card"/>
    <x v="1"/>
    <x v="1"/>
    <d v="2022-01-03T00:00:00"/>
    <x v="28"/>
    <s v="Jan"/>
    <n v="2025"/>
    <n v="1537"/>
    <x v="9"/>
    <x v="0"/>
    <s v="Low Sale"/>
    <m/>
    <n v="7309.7999999999993"/>
  </r>
  <r>
    <s v="TRX0026"/>
    <x v="119"/>
    <s v="CUST037"/>
    <s v="Arthur Edwards"/>
    <s v="P001"/>
    <x v="4"/>
    <s v="Electronics"/>
    <n v="1"/>
    <n v="899.99"/>
    <s v="PayPal"/>
    <x v="2"/>
    <x v="2"/>
    <d v="2022-07-10T00:00:00"/>
    <x v="8"/>
    <s v="Jan"/>
    <n v="2025"/>
    <n v="1349"/>
    <x v="9"/>
    <x v="0"/>
    <s v="Low Sale"/>
    <m/>
    <n v="1559.94"/>
  </r>
  <r>
    <s v="TRX0237"/>
    <x v="120"/>
    <s v="CUST006"/>
    <s v="Lisa Anderson"/>
    <s v="P003"/>
    <x v="3"/>
    <s v="Electronics"/>
    <n v="5"/>
    <n v="149.99"/>
    <s v="PayPal"/>
    <x v="4"/>
    <x v="1"/>
    <d v="2022-09-20T00:00:00"/>
    <x v="2"/>
    <s v="Jan"/>
    <n v="2025"/>
    <n v="1277"/>
    <x v="9"/>
    <x v="0"/>
    <s v="Low Sale"/>
    <m/>
    <n v="2039.8"/>
  </r>
  <r>
    <s v="TRX0091"/>
    <x v="120"/>
    <s v="CUST003"/>
    <s v="Michael Brown"/>
    <s v="P007"/>
    <x v="6"/>
    <s v="Furniture"/>
    <n v="3"/>
    <n v="299.99"/>
    <s v="Cash"/>
    <x v="1"/>
    <x v="2"/>
    <d v="2021-08-14T00:00:00"/>
    <x v="23"/>
    <s v="Jan"/>
    <n v="2025"/>
    <n v="1679"/>
    <x v="9"/>
    <x v="0"/>
    <s v="Low Sale"/>
    <m/>
    <n v="6169.7400000000007"/>
  </r>
  <r>
    <s v="TRX0125"/>
    <x v="121"/>
    <s v="CUST026"/>
    <s v="Karen Hill"/>
    <s v="P002"/>
    <x v="5"/>
    <s v="Electronics"/>
    <n v="3"/>
    <n v="699.99"/>
    <s v="Credit Card"/>
    <x v="0"/>
    <x v="1"/>
    <d v="2023-06-28T00:00:00"/>
    <x v="7"/>
    <s v="Jan"/>
    <n v="2025"/>
    <n v="996"/>
    <x v="9"/>
    <x v="0"/>
    <s v="High Sale"/>
    <m/>
    <n v="8009.77"/>
  </r>
  <r>
    <s v="TRX0223"/>
    <x v="122"/>
    <s v="CUST036"/>
    <s v="Nancy Collins"/>
    <s v="P006"/>
    <x v="9"/>
    <s v="Furniture"/>
    <n v="5"/>
    <n v="199.99"/>
    <s v="PayPal"/>
    <x v="0"/>
    <x v="2"/>
    <d v="2022-03-13T00:00:00"/>
    <x v="21"/>
    <s v="Jan"/>
    <n v="2025"/>
    <n v="1468"/>
    <x v="9"/>
    <x v="0"/>
    <s v="Low Sale"/>
    <m/>
    <n v="4189.7700000000004"/>
  </r>
  <r>
    <s v="TRX0243"/>
    <x v="122"/>
    <s v="CUST048"/>
    <s v="Virginia Sanders"/>
    <s v="P009"/>
    <x v="0"/>
    <s v="Electronics"/>
    <n v="5"/>
    <n v="249.99"/>
    <s v="Credit Card"/>
    <x v="1"/>
    <x v="0"/>
    <d v="2024-02-08T00:00:00"/>
    <x v="16"/>
    <s v="Jan"/>
    <n v="2025"/>
    <n v="771"/>
    <x v="9"/>
    <x v="0"/>
    <s v="High Sale"/>
    <m/>
    <n v="4789.7900000000009"/>
  </r>
  <r>
    <s v="TRX0084"/>
    <x v="123"/>
    <s v="CUST031"/>
    <s v="Steven Turner"/>
    <s v="P003"/>
    <x v="3"/>
    <s v="Electronics"/>
    <n v="4"/>
    <n v="149.99"/>
    <s v="Debit Card"/>
    <x v="4"/>
    <x v="2"/>
    <d v="2021-12-06T00:00:00"/>
    <x v="9"/>
    <s v="Jan"/>
    <n v="2025"/>
    <n v="1565"/>
    <x v="9"/>
    <x v="0"/>
    <s v="Low Sale"/>
    <m/>
    <n v="2649.83"/>
  </r>
  <r>
    <s v="TRX0238"/>
    <x v="123"/>
    <s v="CUST038"/>
    <s v="Michelle Rogers"/>
    <s v="P002"/>
    <x v="5"/>
    <s v="Electronics"/>
    <n v="3"/>
    <n v="699.99"/>
    <s v="Cash"/>
    <x v="2"/>
    <x v="1"/>
    <d v="2022-02-10T00:00:00"/>
    <x v="7"/>
    <s v="Jan"/>
    <n v="2025"/>
    <n v="1499"/>
    <x v="9"/>
    <x v="0"/>
    <s v="High Sale"/>
    <m/>
    <n v="4199.9399999999996"/>
  </r>
  <r>
    <s v="TRX0102"/>
    <x v="124"/>
    <s v="CUST045"/>
    <s v="Douglas Watson"/>
    <s v="P004"/>
    <x v="7"/>
    <s v="Appliances"/>
    <n v="1"/>
    <n v="79.989999999999995"/>
    <s v="Credit Card"/>
    <x v="1"/>
    <x v="0"/>
    <d v="2024-01-31T00:00:00"/>
    <x v="26"/>
    <s v="Jan"/>
    <n v="2025"/>
    <n v="779"/>
    <x v="9"/>
    <x v="0"/>
    <s v="Low Sale"/>
    <m/>
    <n v="4829.8899999999994"/>
  </r>
  <r>
    <s v="TRX0022"/>
    <x v="124"/>
    <s v="CUST025"/>
    <s v="Mark Carter"/>
    <s v="P007"/>
    <x v="6"/>
    <s v="Furniture"/>
    <n v="1"/>
    <n v="299.99"/>
    <s v="Credit Card"/>
    <x v="2"/>
    <x v="0"/>
    <d v="2021-08-28T00:00:00"/>
    <x v="34"/>
    <s v="Jan"/>
    <n v="2025"/>
    <n v="1665"/>
    <x v="9"/>
    <x v="0"/>
    <s v="Low Sale"/>
    <m/>
    <n v="15659.65"/>
  </r>
  <r>
    <s v="TRX0087"/>
    <x v="125"/>
    <s v="CUST028"/>
    <s v="Betty Campbell"/>
    <s v="P009"/>
    <x v="0"/>
    <s v="Electronics"/>
    <n v="4"/>
    <n v="249.99"/>
    <s v="Credit Card"/>
    <x v="2"/>
    <x v="1"/>
    <d v="2021-09-21T00:00:00"/>
    <x v="14"/>
    <s v="Jan"/>
    <n v="2025"/>
    <n v="1641"/>
    <x v="9"/>
    <x v="0"/>
    <s v="Low Sale"/>
    <m/>
    <n v="5649.84"/>
  </r>
  <r>
    <s v="TRX0107"/>
    <x v="125"/>
    <s v="CUST030"/>
    <s v="Helen Roberts"/>
    <s v="P003"/>
    <x v="3"/>
    <s v="Electronics"/>
    <n v="2"/>
    <n v="149.99"/>
    <s v="Cash"/>
    <x v="2"/>
    <x v="2"/>
    <d v="2022-12-18T00:00:00"/>
    <x v="22"/>
    <s v="Jan"/>
    <n v="2025"/>
    <n v="1188"/>
    <x v="9"/>
    <x v="0"/>
    <s v="Low Sale"/>
    <m/>
    <n v="6459.79"/>
  </r>
  <r>
    <s v="TRX0051"/>
    <x v="125"/>
    <s v="CUST032"/>
    <s v="Sandra Phillips"/>
    <s v="P007"/>
    <x v="6"/>
    <s v="Furniture"/>
    <n v="3"/>
    <n v="299.99"/>
    <s v="Credit Card"/>
    <x v="1"/>
    <x v="0"/>
    <d v="2023-10-05T00:00:00"/>
    <x v="23"/>
    <s v="Jan"/>
    <n v="2025"/>
    <n v="897"/>
    <x v="9"/>
    <x v="0"/>
    <s v="Low Sale"/>
    <m/>
    <n v="6349.83"/>
  </r>
  <r>
    <s v="TRX0106"/>
    <x v="126"/>
    <s v="CUST039"/>
    <s v="Lawrence Reed"/>
    <s v="P006"/>
    <x v="9"/>
    <s v="Furniture"/>
    <n v="4"/>
    <n v="199.99"/>
    <s v="Debit Card"/>
    <x v="1"/>
    <x v="2"/>
    <d v="2021-12-14T00:00:00"/>
    <x v="37"/>
    <s v="Jan"/>
    <n v="2025"/>
    <n v="1557"/>
    <x v="9"/>
    <x v="0"/>
    <s v="Low Sale"/>
    <m/>
    <n v="6989.7699999999986"/>
  </r>
  <r>
    <s v="TRX0059"/>
    <x v="126"/>
    <s v="CUST016"/>
    <s v="Elizabeth Hall"/>
    <s v="P007"/>
    <x v="6"/>
    <s v="Furniture"/>
    <n v="5"/>
    <n v="299.99"/>
    <s v="Debit Card"/>
    <x v="0"/>
    <x v="0"/>
    <d v="2021-08-23T00:00:00"/>
    <x v="17"/>
    <s v="Jan"/>
    <n v="2025"/>
    <n v="1670"/>
    <x v="9"/>
    <x v="0"/>
    <s v="High Sale"/>
    <m/>
    <n v="3649.86"/>
  </r>
  <r>
    <s v="TRX0072"/>
    <x v="126"/>
    <s v="CUST009"/>
    <s v="Robert Thomas"/>
    <s v="P008"/>
    <x v="2"/>
    <s v="Furniture"/>
    <n v="3"/>
    <n v="149.99"/>
    <s v="Credit Card"/>
    <x v="4"/>
    <x v="2"/>
    <d v="2021-07-18T00:00:00"/>
    <x v="6"/>
    <s v="Jan"/>
    <n v="2025"/>
    <n v="1706"/>
    <x v="9"/>
    <x v="0"/>
    <s v="Low Sale"/>
    <m/>
    <n v="3509.9"/>
  </r>
  <r>
    <s v="TRX0110"/>
    <x v="127"/>
    <s v="CUST006"/>
    <s v="Lisa Anderson"/>
    <s v="P005"/>
    <x v="1"/>
    <s v="Appliances"/>
    <n v="5"/>
    <n v="59.99"/>
    <s v="Debit Card"/>
    <x v="4"/>
    <x v="0"/>
    <d v="2022-03-22T00:00:00"/>
    <x v="42"/>
    <s v="Jan"/>
    <n v="2025"/>
    <n v="1459"/>
    <x v="9"/>
    <x v="0"/>
    <s v="Low Sale"/>
    <m/>
    <n v="2039.8"/>
  </r>
  <r>
    <s v="TRX0126"/>
    <x v="128"/>
    <s v="CUST022"/>
    <s v="Susan Green"/>
    <s v="P005"/>
    <x v="1"/>
    <s v="Appliances"/>
    <n v="4"/>
    <n v="59.99"/>
    <s v="Debit Card"/>
    <x v="4"/>
    <x v="2"/>
    <d v="2022-01-03T00:00:00"/>
    <x v="20"/>
    <s v="Jan"/>
    <n v="2025"/>
    <n v="1537"/>
    <x v="9"/>
    <x v="0"/>
    <s v="Low Sale"/>
    <m/>
    <n v="1979.89"/>
  </r>
  <r>
    <s v="TRX0159"/>
    <x v="129"/>
    <s v="CUST024"/>
    <s v="Dorothy Nelson"/>
    <s v="P009"/>
    <x v="0"/>
    <s v="Electronics"/>
    <n v="4"/>
    <n v="249.99"/>
    <s v="Debit Card"/>
    <x v="0"/>
    <x v="1"/>
    <d v="2023-10-18T00:00:00"/>
    <x v="14"/>
    <s v="Jan"/>
    <n v="2025"/>
    <n v="884"/>
    <x v="9"/>
    <x v="0"/>
    <s v="Low Sale"/>
    <m/>
    <n v="8269.7900000000009"/>
  </r>
  <r>
    <s v="TRX0030"/>
    <x v="130"/>
    <s v="CUST011"/>
    <s v="William White"/>
    <s v="P001"/>
    <x v="4"/>
    <s v="Electronics"/>
    <n v="4"/>
    <n v="899.99"/>
    <s v="PayPal"/>
    <x v="0"/>
    <x v="0"/>
    <d v="2022-06-22T00:00:00"/>
    <x v="11"/>
    <s v="Jan"/>
    <n v="2025"/>
    <n v="1367"/>
    <x v="9"/>
    <x v="0"/>
    <s v="High Sale"/>
    <m/>
    <n v="4749.91"/>
  </r>
  <r>
    <s v="TRX0178"/>
    <x v="130"/>
    <s v="CUST025"/>
    <s v="Mark Carter"/>
    <s v="P007"/>
    <x v="6"/>
    <s v="Furniture"/>
    <n v="3"/>
    <n v="299.99"/>
    <s v="Debit Card"/>
    <x v="3"/>
    <x v="2"/>
    <d v="2023-01-26T00:00:00"/>
    <x v="23"/>
    <s v="Jan"/>
    <n v="2025"/>
    <n v="1149"/>
    <x v="9"/>
    <x v="0"/>
    <s v="Low Sale"/>
    <m/>
    <n v="15659.65"/>
  </r>
  <r>
    <s v="TRX0188"/>
    <x v="130"/>
    <s v="CUST045"/>
    <s v="Douglas Watson"/>
    <s v="P002"/>
    <x v="5"/>
    <s v="Electronics"/>
    <n v="2"/>
    <n v="699.99"/>
    <s v="Debit Card"/>
    <x v="0"/>
    <x v="1"/>
    <d v="2022-04-30T00:00:00"/>
    <x v="10"/>
    <s v="Jan"/>
    <n v="2025"/>
    <n v="1420"/>
    <x v="9"/>
    <x v="0"/>
    <s v="High Sale"/>
    <m/>
    <n v="4829.8899999999994"/>
  </r>
  <r>
    <s v="TRX0010"/>
    <x v="131"/>
    <s v="CUST026"/>
    <s v="Karen Hill"/>
    <s v="P002"/>
    <x v="5"/>
    <s v="Electronics"/>
    <n v="4"/>
    <n v="699.99"/>
    <s v="Debit Card"/>
    <x v="3"/>
    <x v="1"/>
    <d v="2022-05-11T00:00:00"/>
    <x v="13"/>
    <s v="Jan"/>
    <n v="2025"/>
    <n v="1409"/>
    <x v="9"/>
    <x v="0"/>
    <s v="High Sale"/>
    <m/>
    <n v="8009.77"/>
  </r>
  <r>
    <s v="TRX0069"/>
    <x v="131"/>
    <s v="CUST029"/>
    <s v="Edward Mitchell"/>
    <s v="P010"/>
    <x v="8"/>
    <s v="Electronics"/>
    <n v="2"/>
    <n v="89.99"/>
    <s v="Debit Card"/>
    <x v="1"/>
    <x v="0"/>
    <d v="2022-08-04T00:00:00"/>
    <x v="28"/>
    <s v="Jan"/>
    <n v="2025"/>
    <n v="1324"/>
    <x v="9"/>
    <x v="0"/>
    <s v="Low Sale"/>
    <m/>
    <n v="11919.77"/>
  </r>
  <r>
    <s v="TRX0166"/>
    <x v="131"/>
    <s v="CUST003"/>
    <s v="Michael Brown"/>
    <s v="P010"/>
    <x v="8"/>
    <s v="Electronics"/>
    <n v="3"/>
    <n v="89.99"/>
    <s v="Debit Card"/>
    <x v="1"/>
    <x v="1"/>
    <d v="2024-01-16T00:00:00"/>
    <x v="25"/>
    <s v="Jan"/>
    <n v="2025"/>
    <n v="794"/>
    <x v="9"/>
    <x v="0"/>
    <s v="Low Sale"/>
    <m/>
    <n v="6169.7400000000007"/>
  </r>
  <r>
    <s v="TRX0219"/>
    <x v="132"/>
    <s v="CUST037"/>
    <s v="Arthur Edwards"/>
    <s v="P005"/>
    <x v="1"/>
    <s v="Appliances"/>
    <n v="1"/>
    <n v="59.99"/>
    <s v="Debit Card"/>
    <x v="0"/>
    <x v="2"/>
    <d v="2023-04-29T00:00:00"/>
    <x v="30"/>
    <s v="Feb"/>
    <n v="2025"/>
    <n v="1056"/>
    <x v="10"/>
    <x v="0"/>
    <s v="Low Sale"/>
    <m/>
    <n v="1559.94"/>
  </r>
  <r>
    <s v="TRX0024"/>
    <x v="133"/>
    <s v="CUST042"/>
    <s v="Ruth Brooks"/>
    <s v="P008"/>
    <x v="2"/>
    <s v="Furniture"/>
    <n v="3"/>
    <n v="149.99"/>
    <s v="Debit Card"/>
    <x v="2"/>
    <x v="1"/>
    <d v="2022-01-03T00:00:00"/>
    <x v="6"/>
    <s v="Feb"/>
    <n v="2025"/>
    <n v="1537"/>
    <x v="10"/>
    <x v="0"/>
    <s v="Low Sale"/>
    <m/>
    <n v="1749.92"/>
  </r>
  <r>
    <s v="TRX0105"/>
    <x v="133"/>
    <s v="CUST048"/>
    <s v="Virginia Sanders"/>
    <s v="P007"/>
    <x v="6"/>
    <s v="Furniture"/>
    <n v="5"/>
    <n v="299.99"/>
    <s v="Credit Card"/>
    <x v="1"/>
    <x v="0"/>
    <d v="2023-02-02T00:00:00"/>
    <x v="17"/>
    <s v="Feb"/>
    <n v="2025"/>
    <n v="1142"/>
    <x v="10"/>
    <x v="0"/>
    <s v="High Sale"/>
    <m/>
    <n v="4789.7900000000009"/>
  </r>
  <r>
    <s v="TRX0011"/>
    <x v="134"/>
    <s v="CUST040"/>
    <s v="Sharon Butler"/>
    <s v="P005"/>
    <x v="1"/>
    <s v="Appliances"/>
    <n v="5"/>
    <n v="59.99"/>
    <s v="Debit Card"/>
    <x v="0"/>
    <x v="2"/>
    <d v="2023-09-08T00:00:00"/>
    <x v="42"/>
    <s v="Feb"/>
    <n v="2025"/>
    <n v="924"/>
    <x v="10"/>
    <x v="0"/>
    <s v="Low Sale"/>
    <m/>
    <n v="5619.869999999999"/>
  </r>
  <r>
    <s v="TRX0187"/>
    <x v="135"/>
    <s v="CUST036"/>
    <s v="Nancy Collins"/>
    <s v="P004"/>
    <x v="7"/>
    <s v="Appliances"/>
    <n v="3"/>
    <n v="79.989999999999995"/>
    <s v="Cash"/>
    <x v="4"/>
    <x v="1"/>
    <d v="2021-08-28T00:00:00"/>
    <x v="18"/>
    <s v="Feb"/>
    <n v="2025"/>
    <n v="1665"/>
    <x v="10"/>
    <x v="0"/>
    <s v="Low Sale"/>
    <m/>
    <n v="4189.7700000000004"/>
  </r>
  <r>
    <s v="TRX0089"/>
    <x v="136"/>
    <s v="CUST021"/>
    <s v="Kevin Scott"/>
    <s v="P006"/>
    <x v="9"/>
    <s v="Furniture"/>
    <n v="3"/>
    <n v="199.99"/>
    <s v="Cash"/>
    <x v="0"/>
    <x v="0"/>
    <d v="2022-06-23T00:00:00"/>
    <x v="24"/>
    <s v="Feb"/>
    <n v="2025"/>
    <n v="1366"/>
    <x v="10"/>
    <x v="0"/>
    <s v="Low Sale"/>
    <m/>
    <n v="3259.87"/>
  </r>
  <r>
    <s v="TRX0196"/>
    <x v="136"/>
    <s v="CUST023"/>
    <s v="Paul Baker"/>
    <s v="P010"/>
    <x v="8"/>
    <s v="Electronics"/>
    <n v="2"/>
    <n v="89.99"/>
    <s v="PayPal"/>
    <x v="0"/>
    <x v="0"/>
    <d v="2023-11-27T00:00:00"/>
    <x v="28"/>
    <s v="Feb"/>
    <n v="2025"/>
    <n v="844"/>
    <x v="10"/>
    <x v="0"/>
    <s v="Low Sale"/>
    <m/>
    <n v="8309.739999999998"/>
  </r>
  <r>
    <s v="TRX0118"/>
    <x v="137"/>
    <s v="CUST015"/>
    <s v="Richard Lee"/>
    <s v="P008"/>
    <x v="2"/>
    <s v="Furniture"/>
    <n v="2"/>
    <n v="149.99"/>
    <s v="Cash"/>
    <x v="1"/>
    <x v="1"/>
    <d v="2022-06-16T00:00:00"/>
    <x v="22"/>
    <s v="Feb"/>
    <n v="2025"/>
    <n v="1373"/>
    <x v="10"/>
    <x v="0"/>
    <s v="Low Sale"/>
    <m/>
    <n v="739.93000000000006"/>
  </r>
  <r>
    <s v="TRX0179"/>
    <x v="138"/>
    <s v="CUST029"/>
    <s v="Edward Mitchell"/>
    <s v="P002"/>
    <x v="5"/>
    <s v="Electronics"/>
    <n v="5"/>
    <n v="699.99"/>
    <s v="PayPal"/>
    <x v="1"/>
    <x v="1"/>
    <d v="2024-03-01T00:00:00"/>
    <x v="12"/>
    <s v="Feb"/>
    <n v="2025"/>
    <n v="749"/>
    <x v="10"/>
    <x v="0"/>
    <s v="High Sale"/>
    <m/>
    <n v="11919.77"/>
  </r>
  <r>
    <s v="TRX0168"/>
    <x v="138"/>
    <s v="CUST003"/>
    <s v="Michael Brown"/>
    <s v="P008"/>
    <x v="2"/>
    <s v="Furniture"/>
    <n v="3"/>
    <n v="149.99"/>
    <s v="PayPal"/>
    <x v="0"/>
    <x v="2"/>
    <d v="2022-03-13T00:00:00"/>
    <x v="6"/>
    <s v="Feb"/>
    <n v="2025"/>
    <n v="1468"/>
    <x v="10"/>
    <x v="0"/>
    <s v="Low Sale"/>
    <m/>
    <n v="6169.7400000000007"/>
  </r>
  <r>
    <s v="TRX0214"/>
    <x v="139"/>
    <s v="CUST018"/>
    <s v="Barbara Young"/>
    <s v="P001"/>
    <x v="4"/>
    <s v="Electronics"/>
    <n v="3"/>
    <n v="899.99"/>
    <s v="Cash"/>
    <x v="4"/>
    <x v="2"/>
    <d v="2022-02-21T00:00:00"/>
    <x v="4"/>
    <s v="Feb"/>
    <n v="2025"/>
    <n v="1488"/>
    <x v="10"/>
    <x v="0"/>
    <s v="High Sale"/>
    <m/>
    <n v="10649.8"/>
  </r>
  <r>
    <s v="TRX0221"/>
    <x v="139"/>
    <s v="CUST033"/>
    <s v="Frank Torres"/>
    <s v="P006"/>
    <x v="9"/>
    <s v="Furniture"/>
    <n v="3"/>
    <n v="199.99"/>
    <s v="Cash"/>
    <x v="3"/>
    <x v="1"/>
    <d v="2022-09-19T00:00:00"/>
    <x v="24"/>
    <s v="Feb"/>
    <n v="2025"/>
    <n v="1278"/>
    <x v="10"/>
    <x v="0"/>
    <s v="Low Sale"/>
    <m/>
    <n v="1479.91"/>
  </r>
  <r>
    <s v="TRX0083"/>
    <x v="140"/>
    <s v="CUST017"/>
    <s v="Charles Allen"/>
    <s v="P007"/>
    <x v="6"/>
    <s v="Furniture"/>
    <n v="5"/>
    <n v="299.99"/>
    <s v="Cash"/>
    <x v="3"/>
    <x v="2"/>
    <d v="2023-08-04T00:00:00"/>
    <x v="17"/>
    <s v="Feb"/>
    <n v="2025"/>
    <n v="959"/>
    <x v="10"/>
    <x v="0"/>
    <s v="High Sale"/>
    <m/>
    <n v="5089.7299999999996"/>
  </r>
  <r>
    <s v="TRX0151"/>
    <x v="140"/>
    <s v="CUST040"/>
    <s v="Sharon Butler"/>
    <s v="P002"/>
    <x v="5"/>
    <s v="Electronics"/>
    <n v="1"/>
    <n v="699.99"/>
    <s v="PayPal"/>
    <x v="3"/>
    <x v="0"/>
    <d v="2023-01-08T00:00:00"/>
    <x v="38"/>
    <s v="Feb"/>
    <n v="2025"/>
    <n v="1167"/>
    <x v="10"/>
    <x v="0"/>
    <s v="Low Sale"/>
    <m/>
    <n v="5619.869999999999"/>
  </r>
  <r>
    <s v="TRX0047"/>
    <x v="141"/>
    <s v="CUST042"/>
    <s v="Ruth Brooks"/>
    <s v="P002"/>
    <x v="5"/>
    <s v="Electronics"/>
    <n v="1"/>
    <n v="699.99"/>
    <s v="Cash"/>
    <x v="2"/>
    <x v="1"/>
    <d v="2022-01-22T00:00:00"/>
    <x v="38"/>
    <s v="Feb"/>
    <n v="2025"/>
    <n v="1518"/>
    <x v="10"/>
    <x v="0"/>
    <s v="Low Sale"/>
    <m/>
    <n v="1749.92"/>
  </r>
  <r>
    <s v="TRX0200"/>
    <x v="141"/>
    <s v="CUST037"/>
    <s v="Arthur Edwards"/>
    <s v="P008"/>
    <x v="2"/>
    <s v="Furniture"/>
    <n v="4"/>
    <n v="149.99"/>
    <s v="PayPal"/>
    <x v="2"/>
    <x v="1"/>
    <d v="2021-08-04T00:00:00"/>
    <x v="9"/>
    <s v="Feb"/>
    <n v="2025"/>
    <n v="1689"/>
    <x v="10"/>
    <x v="0"/>
    <s v="Low Sale"/>
    <m/>
    <n v="1559.94"/>
  </r>
  <r>
    <s v="TRX0062"/>
    <x v="141"/>
    <s v="CUST016"/>
    <s v="Elizabeth Hall"/>
    <s v="P010"/>
    <x v="8"/>
    <s v="Electronics"/>
    <n v="5"/>
    <n v="89.99"/>
    <s v="PayPal"/>
    <x v="3"/>
    <x v="1"/>
    <d v="2023-08-02T00:00:00"/>
    <x v="19"/>
    <s v="Feb"/>
    <n v="2025"/>
    <n v="961"/>
    <x v="10"/>
    <x v="0"/>
    <s v="Low Sale"/>
    <m/>
    <n v="3649.86"/>
  </r>
  <r>
    <s v="TRX0182"/>
    <x v="142"/>
    <s v="CUST031"/>
    <s v="Steven Turner"/>
    <s v="P006"/>
    <x v="9"/>
    <s v="Furniture"/>
    <n v="2"/>
    <n v="199.99"/>
    <s v="Cash"/>
    <x v="0"/>
    <x v="1"/>
    <d v="2022-01-12T00:00:00"/>
    <x v="35"/>
    <s v="Feb"/>
    <n v="2025"/>
    <n v="1528"/>
    <x v="10"/>
    <x v="0"/>
    <s v="Low Sale"/>
    <m/>
    <n v="2649.83"/>
  </r>
  <r>
    <s v="TRX0229"/>
    <x v="143"/>
    <s v="CUST015"/>
    <s v="Richard Lee"/>
    <s v="P005"/>
    <x v="1"/>
    <s v="Appliances"/>
    <n v="4"/>
    <n v="59.99"/>
    <s v="Cash"/>
    <x v="3"/>
    <x v="2"/>
    <d v="2023-05-24T00:00:00"/>
    <x v="20"/>
    <s v="Feb"/>
    <n v="2025"/>
    <n v="1031"/>
    <x v="10"/>
    <x v="0"/>
    <s v="Low Sale"/>
    <m/>
    <n v="739.93000000000006"/>
  </r>
  <r>
    <s v="TRX0048"/>
    <x v="143"/>
    <s v="CUST048"/>
    <s v="Virginia Sanders"/>
    <s v="P007"/>
    <x v="6"/>
    <s v="Furniture"/>
    <n v="2"/>
    <n v="299.99"/>
    <s v="PayPal"/>
    <x v="1"/>
    <x v="0"/>
    <d v="2022-01-15T00:00:00"/>
    <x v="31"/>
    <s v="Feb"/>
    <n v="2025"/>
    <n v="1525"/>
    <x v="10"/>
    <x v="0"/>
    <s v="Low Sale"/>
    <m/>
    <n v="4789.7900000000009"/>
  </r>
  <r>
    <s v="TRX0227"/>
    <x v="144"/>
    <s v="CUST017"/>
    <s v="Charles Allen"/>
    <s v="P008"/>
    <x v="2"/>
    <s v="Furniture"/>
    <n v="2"/>
    <n v="149.99"/>
    <s v="Cash"/>
    <x v="0"/>
    <x v="0"/>
    <d v="2023-05-22T00:00:00"/>
    <x v="22"/>
    <s v="Mar"/>
    <n v="2025"/>
    <n v="1033"/>
    <x v="11"/>
    <x v="0"/>
    <s v="Low Sale"/>
    <m/>
    <n v="5089.7299999999996"/>
  </r>
  <r>
    <s v="TRX0226"/>
    <x v="145"/>
    <s v="CUST039"/>
    <s v="Lawrence Reed"/>
    <s v="P002"/>
    <x v="5"/>
    <s v="Electronics"/>
    <n v="5"/>
    <n v="699.99"/>
    <s v="Debit Card"/>
    <x v="4"/>
    <x v="1"/>
    <d v="2023-08-23T00:00:00"/>
    <x v="12"/>
    <s v="Mar"/>
    <n v="2025"/>
    <n v="940"/>
    <x v="11"/>
    <x v="0"/>
    <s v="High Sale"/>
    <m/>
    <n v="6989.7699999999986"/>
  </r>
  <r>
    <s v="TRX0053"/>
    <x v="146"/>
    <s v="CUST043"/>
    <s v="Dennis Gray"/>
    <s v="P005"/>
    <x v="1"/>
    <s v="Appliances"/>
    <n v="5"/>
    <n v="59.99"/>
    <s v="Cash"/>
    <x v="3"/>
    <x v="1"/>
    <d v="2023-12-31T00:00:00"/>
    <x v="42"/>
    <s v="Mar"/>
    <n v="2025"/>
    <n v="810"/>
    <x v="11"/>
    <x v="0"/>
    <s v="Low Sale"/>
    <m/>
    <n v="479.92"/>
  </r>
  <r>
    <s v="TRX0233"/>
    <x v="147"/>
    <s v="CUST023"/>
    <s v="Paul Baker"/>
    <s v="P010"/>
    <x v="8"/>
    <s v="Electronics"/>
    <n v="2"/>
    <n v="89.99"/>
    <s v="Credit Card"/>
    <x v="3"/>
    <x v="1"/>
    <d v="2024-01-04T00:00:00"/>
    <x v="28"/>
    <s v="Mar"/>
    <n v="2025"/>
    <n v="806"/>
    <x v="11"/>
    <x v="0"/>
    <s v="Low Sale"/>
    <m/>
    <n v="8309.739999999998"/>
  </r>
  <r>
    <s v="TRX0175"/>
    <x v="147"/>
    <s v="CUST030"/>
    <s v="Helen Roberts"/>
    <s v="P009"/>
    <x v="0"/>
    <s v="Electronics"/>
    <n v="5"/>
    <n v="249.99"/>
    <s v="Cash"/>
    <x v="4"/>
    <x v="2"/>
    <d v="2021-12-10T00:00:00"/>
    <x v="16"/>
    <s v="Mar"/>
    <n v="2025"/>
    <n v="1561"/>
    <x v="11"/>
    <x v="0"/>
    <s v="High Sale"/>
    <m/>
    <n v="6459.79"/>
  </r>
  <r>
    <s v="TRX0186"/>
    <x v="148"/>
    <s v="CUST039"/>
    <s v="Lawrence Reed"/>
    <s v="P008"/>
    <x v="2"/>
    <s v="Furniture"/>
    <n v="2"/>
    <n v="149.99"/>
    <s v="PayPal"/>
    <x v="0"/>
    <x v="1"/>
    <d v="2022-03-12T00:00:00"/>
    <x v="22"/>
    <s v="Mar"/>
    <n v="2025"/>
    <n v="1469"/>
    <x v="11"/>
    <x v="0"/>
    <s v="Low Sale"/>
    <m/>
    <n v="6989.7699999999986"/>
  </r>
  <r>
    <s v="TRX0016"/>
    <x v="148"/>
    <s v="CUST035"/>
    <s v="Harry Morgan"/>
    <s v="P001"/>
    <x v="4"/>
    <s v="Electronics"/>
    <n v="5"/>
    <n v="899.99"/>
    <s v="PayPal"/>
    <x v="4"/>
    <x v="1"/>
    <d v="2024-04-07T00:00:00"/>
    <x v="29"/>
    <s v="Mar"/>
    <n v="2025"/>
    <n v="712"/>
    <x v="11"/>
    <x v="0"/>
    <s v="High Sale"/>
    <m/>
    <n v="5519.8899999999994"/>
  </r>
  <r>
    <s v="TRX0199"/>
    <x v="148"/>
    <s v="CUST017"/>
    <s v="Charles Allen"/>
    <s v="P008"/>
    <x v="2"/>
    <s v="Furniture"/>
    <n v="4"/>
    <n v="149.99"/>
    <s v="Cash"/>
    <x v="0"/>
    <x v="2"/>
    <d v="2023-12-03T00:00:00"/>
    <x v="9"/>
    <s v="Mar"/>
    <n v="2025"/>
    <n v="838"/>
    <x v="11"/>
    <x v="0"/>
    <s v="Low Sale"/>
    <m/>
    <n v="5089.7299999999996"/>
  </r>
  <r>
    <s v="TRX0038"/>
    <x v="149"/>
    <s v="CUST035"/>
    <s v="Harry Morgan"/>
    <s v="P009"/>
    <x v="0"/>
    <s v="Electronics"/>
    <n v="1"/>
    <n v="249.99"/>
    <s v="Cash"/>
    <x v="2"/>
    <x v="2"/>
    <d v="2023-07-10T00:00:00"/>
    <x v="39"/>
    <s v="Mar"/>
    <n v="2025"/>
    <n v="984"/>
    <x v="11"/>
    <x v="0"/>
    <s v="Low Sale"/>
    <m/>
    <n v="5519.8899999999994"/>
  </r>
  <r>
    <s v="TRX0014"/>
    <x v="150"/>
    <s v="CUST033"/>
    <s v="Frank Torres"/>
    <s v="P005"/>
    <x v="1"/>
    <s v="Appliances"/>
    <n v="2"/>
    <n v="59.99"/>
    <s v="Credit Card"/>
    <x v="3"/>
    <x v="0"/>
    <d v="2023-09-24T00:00:00"/>
    <x v="3"/>
    <s v="Mar"/>
    <n v="2025"/>
    <n v="908"/>
    <x v="11"/>
    <x v="0"/>
    <s v="Low Sale"/>
    <m/>
    <n v="1479.91"/>
  </r>
  <r>
    <s v="TRX0003"/>
    <x v="151"/>
    <s v="CUST002"/>
    <s v="Emma Wilson"/>
    <s v="P008"/>
    <x v="2"/>
    <s v="Furniture"/>
    <n v="2"/>
    <n v="149.99"/>
    <s v="Cash"/>
    <x v="3"/>
    <x v="1"/>
    <d v="2023-11-03T00:00:00"/>
    <x v="22"/>
    <s v="Mar"/>
    <n v="2025"/>
    <n v="868"/>
    <x v="11"/>
    <x v="0"/>
    <s v="Low Sale"/>
    <m/>
    <n v="1229.8800000000001"/>
  </r>
  <r>
    <s v="TRX0124"/>
    <x v="151"/>
    <s v="CUST040"/>
    <s v="Sharon Butler"/>
    <s v="P001"/>
    <x v="4"/>
    <s v="Electronics"/>
    <n v="3"/>
    <n v="899.99"/>
    <s v="Debit Card"/>
    <x v="2"/>
    <x v="1"/>
    <d v="2022-11-11T00:00:00"/>
    <x v="4"/>
    <s v="Mar"/>
    <n v="2025"/>
    <n v="1225"/>
    <x v="11"/>
    <x v="0"/>
    <s v="High Sale"/>
    <m/>
    <n v="5619.869999999999"/>
  </r>
  <r>
    <s v="TRX0013"/>
    <x v="151"/>
    <s v="CUST024"/>
    <s v="Dorothy Nelson"/>
    <s v="P001"/>
    <x v="4"/>
    <s v="Electronics"/>
    <n v="3"/>
    <n v="899.99"/>
    <s v="PayPal"/>
    <x v="2"/>
    <x v="0"/>
    <d v="2023-02-18T00:00:00"/>
    <x v="4"/>
    <s v="Mar"/>
    <n v="2025"/>
    <n v="1126"/>
    <x v="11"/>
    <x v="0"/>
    <s v="High Sale"/>
    <m/>
    <n v="8269.7900000000009"/>
  </r>
  <r>
    <s v="TRX0019"/>
    <x v="152"/>
    <s v="CUST023"/>
    <s v="Paul Baker"/>
    <s v="P007"/>
    <x v="6"/>
    <s v="Furniture"/>
    <n v="3"/>
    <n v="299.99"/>
    <s v="Credit Card"/>
    <x v="3"/>
    <x v="1"/>
    <d v="2023-11-04T00:00:00"/>
    <x v="23"/>
    <s v="Mar"/>
    <n v="2025"/>
    <n v="867"/>
    <x v="11"/>
    <x v="0"/>
    <s v="Low Sale"/>
    <m/>
    <n v="8309.739999999998"/>
  </r>
  <r>
    <s v="TRX0050"/>
    <x v="153"/>
    <s v="CUST001"/>
    <s v="John Smith"/>
    <s v="P008"/>
    <x v="2"/>
    <s v="Furniture"/>
    <n v="4"/>
    <n v="149.99"/>
    <s v="PayPal"/>
    <x v="3"/>
    <x v="2"/>
    <d v="2021-12-30T00:00:00"/>
    <x v="9"/>
    <s v="Mar"/>
    <n v="2025"/>
    <n v="1541"/>
    <x v="11"/>
    <x v="0"/>
    <s v="Low Sale"/>
    <m/>
    <n v="599.96"/>
  </r>
  <r>
    <s v="TRX0152"/>
    <x v="154"/>
    <s v="CUST044"/>
    <s v="Cynthia Price"/>
    <s v="P004"/>
    <x v="7"/>
    <s v="Appliances"/>
    <n v="4"/>
    <n v="79.989999999999995"/>
    <s v="Credit Card"/>
    <x v="0"/>
    <x v="0"/>
    <d v="2023-12-28T00:00:00"/>
    <x v="40"/>
    <s v="Mar"/>
    <n v="2025"/>
    <n v="813"/>
    <x v="11"/>
    <x v="0"/>
    <s v="Low Sale"/>
    <m/>
    <n v="3769.83"/>
  </r>
  <r>
    <s v="TRX0213"/>
    <x v="155"/>
    <s v="CUST020"/>
    <s v="Margaret Wright"/>
    <s v="P010"/>
    <x v="8"/>
    <s v="Electronics"/>
    <n v="5"/>
    <n v="89.99"/>
    <s v="PayPal"/>
    <x v="1"/>
    <x v="0"/>
    <d v="2022-05-23T00:00:00"/>
    <x v="19"/>
    <s v="Mar"/>
    <n v="2025"/>
    <n v="1397"/>
    <x v="11"/>
    <x v="0"/>
    <s v="Low Sale"/>
    <m/>
    <n v="2099.88"/>
  </r>
  <r>
    <s v="TRX0197"/>
    <x v="156"/>
    <s v="CUST048"/>
    <s v="Virginia Sanders"/>
    <s v="P008"/>
    <x v="2"/>
    <s v="Furniture"/>
    <n v="3"/>
    <n v="149.99"/>
    <s v="PayPal"/>
    <x v="0"/>
    <x v="2"/>
    <d v="2023-09-02T00:00:00"/>
    <x v="6"/>
    <s v="Mar"/>
    <n v="2025"/>
    <n v="930"/>
    <x v="11"/>
    <x v="0"/>
    <s v="Low Sale"/>
    <m/>
    <n v="4789.7900000000009"/>
  </r>
  <r>
    <s v="TRX0250"/>
    <x v="156"/>
    <s v="CUST026"/>
    <s v="Karen Hill"/>
    <s v="P010"/>
    <x v="8"/>
    <s v="Electronics"/>
    <n v="2"/>
    <n v="89.99"/>
    <s v="Debit Card"/>
    <x v="3"/>
    <x v="1"/>
    <d v="2021-11-22T00:00:00"/>
    <x v="28"/>
    <s v="Mar"/>
    <n v="2025"/>
    <n v="1579"/>
    <x v="11"/>
    <x v="0"/>
    <s v="Low Sale"/>
    <m/>
    <n v="8009.77"/>
  </r>
  <r>
    <s v="TRX0068"/>
    <x v="157"/>
    <s v="CUST044"/>
    <s v="Cynthia Price"/>
    <s v="P002"/>
    <x v="5"/>
    <s v="Electronics"/>
    <n v="2"/>
    <n v="699.99"/>
    <s v="PayPal"/>
    <x v="2"/>
    <x v="2"/>
    <d v="2022-02-26T00:00:00"/>
    <x v="10"/>
    <s v="Apr"/>
    <n v="2025"/>
    <n v="1483"/>
    <x v="12"/>
    <x v="0"/>
    <s v="High Sale"/>
    <m/>
    <n v="3769.83"/>
  </r>
  <r>
    <s v="TRX0144"/>
    <x v="158"/>
    <s v="CUST029"/>
    <s v="Edward Mitchell"/>
    <s v="P001"/>
    <x v="4"/>
    <s v="Electronics"/>
    <n v="3"/>
    <n v="899.99"/>
    <s v="Cash"/>
    <x v="0"/>
    <x v="2"/>
    <d v="2023-01-27T00:00:00"/>
    <x v="4"/>
    <s v="Apr"/>
    <n v="2025"/>
    <n v="1148"/>
    <x v="12"/>
    <x v="0"/>
    <s v="High Sale"/>
    <m/>
    <n v="11919.77"/>
  </r>
  <r>
    <s v="TRX0039"/>
    <x v="159"/>
    <s v="CUST048"/>
    <s v="Virginia Sanders"/>
    <s v="P004"/>
    <x v="7"/>
    <s v="Appliances"/>
    <n v="3"/>
    <n v="79.989999999999995"/>
    <s v="Credit Card"/>
    <x v="2"/>
    <x v="0"/>
    <d v="2021-11-11T00:00:00"/>
    <x v="18"/>
    <s v="Apr"/>
    <n v="2025"/>
    <n v="1590"/>
    <x v="12"/>
    <x v="0"/>
    <s v="Low Sale"/>
    <m/>
    <n v="4789.7900000000009"/>
  </r>
  <r>
    <s v="TRX0116"/>
    <x v="160"/>
    <s v="CUST009"/>
    <s v="Robert Thomas"/>
    <s v="P010"/>
    <x v="8"/>
    <s v="Electronics"/>
    <n v="1"/>
    <n v="89.99"/>
    <s v="Debit Card"/>
    <x v="4"/>
    <x v="0"/>
    <d v="2024-02-24T00:00:00"/>
    <x v="27"/>
    <s v="Apr"/>
    <n v="2025"/>
    <n v="755"/>
    <x v="12"/>
    <x v="0"/>
    <s v="Low Sale"/>
    <m/>
    <n v="3509.9"/>
  </r>
  <r>
    <s v="TRX0120"/>
    <x v="161"/>
    <s v="CUST045"/>
    <s v="Douglas Watson"/>
    <s v="P002"/>
    <x v="5"/>
    <s v="Electronics"/>
    <n v="3"/>
    <n v="699.99"/>
    <s v="PayPal"/>
    <x v="2"/>
    <x v="0"/>
    <d v="2022-12-14T00:00:00"/>
    <x v="7"/>
    <s v="Apr"/>
    <n v="2025"/>
    <n v="1192"/>
    <x v="12"/>
    <x v="0"/>
    <s v="High Sale"/>
    <m/>
    <n v="4829.8899999999994"/>
  </r>
  <r>
    <s v="TRX0103"/>
    <x v="161"/>
    <s v="CUST039"/>
    <s v="Lawrence Reed"/>
    <s v="P010"/>
    <x v="8"/>
    <s v="Electronics"/>
    <n v="2"/>
    <n v="89.99"/>
    <s v="Debit Card"/>
    <x v="4"/>
    <x v="0"/>
    <d v="2023-06-11T00:00:00"/>
    <x v="28"/>
    <s v="Apr"/>
    <n v="2025"/>
    <n v="1013"/>
    <x v="12"/>
    <x v="0"/>
    <s v="Low Sale"/>
    <m/>
    <n v="6989.7699999999986"/>
  </r>
  <r>
    <s v="TRX0064"/>
    <x v="161"/>
    <s v="CUST031"/>
    <s v="Steven Turner"/>
    <s v="P010"/>
    <x v="8"/>
    <s v="Electronics"/>
    <n v="3"/>
    <n v="89.99"/>
    <s v="Debit Card"/>
    <x v="2"/>
    <x v="1"/>
    <d v="2022-11-13T00:00:00"/>
    <x v="25"/>
    <s v="Apr"/>
    <n v="2025"/>
    <n v="1223"/>
    <x v="12"/>
    <x v="0"/>
    <s v="Low Sale"/>
    <m/>
    <n v="2649.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s v="Electronics"/>
    <n v="3"/>
    <n v="249.99"/>
    <s v="Cash"/>
    <s v="Central"/>
    <s v="Basic"/>
    <d v="2021-08-17T00:00:00"/>
    <n v="749.97"/>
    <s v="Apr"/>
    <n v="2024"/>
    <n v="1855"/>
    <n v="45412"/>
    <d v="2026-09-15T23:04:17"/>
  </r>
  <r>
    <s v="TRX0023"/>
    <d v="2024-04-14T00:00:00"/>
    <s v="CUST013"/>
    <x v="1"/>
    <s v="P009"/>
    <s v="Monitor"/>
    <s v="Electronics"/>
    <n v="3"/>
    <n v="249.99"/>
    <s v="Credit Card"/>
    <s v="Central"/>
    <s v="Premium"/>
    <d v="2022-01-14T00:00:00"/>
    <n v="749.97"/>
    <s v="Apr"/>
    <n v="2024"/>
    <n v="1705"/>
    <n v="45412"/>
    <d v="2026-09-15T23:04:17"/>
  </r>
  <r>
    <s v="TRX0139"/>
    <d v="2024-04-17T00:00:00"/>
    <s v="CUST021"/>
    <x v="2"/>
    <s v="P005"/>
    <s v="Blender"/>
    <s v="Appliances"/>
    <n v="3"/>
    <n v="59.99"/>
    <s v="PayPal"/>
    <s v="South"/>
    <s v="Standard"/>
    <d v="2023-12-02T00:00:00"/>
    <n v="179.97"/>
    <s v="Apr"/>
    <n v="2024"/>
    <n v="1018"/>
    <n v="45412"/>
    <d v="2026-09-15T23:04:17"/>
  </r>
  <r>
    <s v="TRX0043"/>
    <d v="2024-04-18T00:00:00"/>
    <s v="CUST046"/>
    <x v="3"/>
    <s v="P005"/>
    <s v="Blender"/>
    <s v="Appliances"/>
    <n v="3"/>
    <n v="59.99"/>
    <s v="Cash"/>
    <s v="North"/>
    <s v="Premium"/>
    <d v="2023-07-07T00:00:00"/>
    <n v="179.97"/>
    <s v="Apr"/>
    <n v="2024"/>
    <n v="1166"/>
    <n v="45412"/>
    <d v="2026-09-15T23:04:17"/>
  </r>
  <r>
    <s v="TRX0212"/>
    <d v="2024-04-18T00:00:00"/>
    <s v="CUST003"/>
    <x v="4"/>
    <s v="P008"/>
    <s v="Bookshelf"/>
    <s v="Furniture"/>
    <n v="5"/>
    <n v="149.99"/>
    <s v="Credit Card"/>
    <s v="North"/>
    <s v="Premium"/>
    <d v="2024-01-04T00:00:00"/>
    <n v="749.95"/>
    <s v="Apr"/>
    <n v="2024"/>
    <n v="985"/>
    <n v="45412"/>
    <d v="2026-09-15T23:04:17"/>
  </r>
  <r>
    <s v="TRX0092"/>
    <d v="2024-04-21T00:00:00"/>
    <s v="CUST024"/>
    <x v="5"/>
    <s v="P005"/>
    <s v="Blender"/>
    <s v="Appliances"/>
    <n v="2"/>
    <n v="59.99"/>
    <s v="Cash"/>
    <s v="West"/>
    <s v="Standard"/>
    <d v="2022-07-04T00:00:00"/>
    <n v="119.98"/>
    <s v="Apr"/>
    <n v="2024"/>
    <n v="1534"/>
    <n v="45412"/>
    <d v="2026-09-15T23:04:17"/>
  </r>
  <r>
    <s v="TRX0193"/>
    <d v="2024-04-21T00:00:00"/>
    <s v="CUST024"/>
    <x v="5"/>
    <s v="P003"/>
    <s v="Headphones"/>
    <s v="Electronics"/>
    <n v="5"/>
    <n v="149.99"/>
    <s v="Credit Card"/>
    <s v="Central"/>
    <s v="Standard"/>
    <d v="2021-08-10T00:00:00"/>
    <n v="749.95"/>
    <s v="Apr"/>
    <n v="2024"/>
    <n v="1862"/>
    <n v="45412"/>
    <d v="2026-09-15T23:04:17"/>
  </r>
  <r>
    <s v="TRX0240"/>
    <d v="2024-04-21T00:00:00"/>
    <s v="CUST017"/>
    <x v="6"/>
    <s v="P005"/>
    <s v="Blender"/>
    <s v="Appliances"/>
    <n v="3"/>
    <n v="59.99"/>
    <s v="Debit Card"/>
    <s v="South"/>
    <s v="Basic"/>
    <d v="2023-03-22T00:00:00"/>
    <n v="179.97"/>
    <s v="Apr"/>
    <n v="2024"/>
    <n v="1273"/>
    <n v="45412"/>
    <d v="2026-09-15T23:04:17"/>
  </r>
  <r>
    <s v="TRX0135"/>
    <d v="2024-04-23T00:00:00"/>
    <s v="CUST009"/>
    <x v="7"/>
    <s v="P001"/>
    <s v="Laptop"/>
    <s v="Electronics"/>
    <n v="3"/>
    <n v="899.99"/>
    <s v="PayPal"/>
    <s v="East"/>
    <s v="Standard"/>
    <d v="2024-01-08T00:00:00"/>
    <n v="2699.97"/>
    <s v="Apr"/>
    <n v="2024"/>
    <n v="981"/>
    <n v="45412"/>
    <d v="2026-09-15T23:04:17"/>
  </r>
  <r>
    <s v="TRX0185"/>
    <d v="2024-04-26T00:00:00"/>
    <s v="CUST026"/>
    <x v="8"/>
    <s v="P005"/>
    <s v="Blender"/>
    <s v="Appliances"/>
    <n v="3"/>
    <n v="59.99"/>
    <s v="Cash"/>
    <s v="West"/>
    <s v="Premium"/>
    <d v="2023-10-08T00:00:00"/>
    <n v="179.97"/>
    <s v="Apr"/>
    <n v="2024"/>
    <n v="1073"/>
    <n v="45412"/>
    <d v="2026-09-15T23:04:17"/>
  </r>
  <r>
    <s v="TRX0138"/>
    <d v="2024-04-26T00:00:00"/>
    <s v="CUST022"/>
    <x v="9"/>
    <s v="P008"/>
    <s v="Bookshelf"/>
    <s v="Furniture"/>
    <n v="1"/>
    <n v="149.99"/>
    <s v="Credit Card"/>
    <s v="West"/>
    <s v="Standard"/>
    <d v="2023-06-26T00:00:00"/>
    <n v="149.99"/>
    <s v="Apr"/>
    <n v="2024"/>
    <n v="1177"/>
    <n v="45412"/>
    <d v="2026-09-15T23:04:17"/>
  </r>
  <r>
    <s v="TRX0209"/>
    <d v="2024-04-26T00:00:00"/>
    <s v="CUST046"/>
    <x v="3"/>
    <s v="P008"/>
    <s v="Bookshelf"/>
    <s v="Furniture"/>
    <n v="5"/>
    <n v="149.99"/>
    <s v="Debit Card"/>
    <s v="North"/>
    <s v="Basic"/>
    <d v="2022-09-26T00:00:00"/>
    <n v="749.95"/>
    <s v="Apr"/>
    <n v="2024"/>
    <n v="1450"/>
    <n v="45412"/>
    <d v="2026-09-15T23:04:17"/>
  </r>
  <r>
    <s v="TRX0246"/>
    <d v="2024-04-26T00:00:00"/>
    <s v="CUST041"/>
    <x v="10"/>
    <s v="P008"/>
    <s v="Bookshelf"/>
    <s v="Furniture"/>
    <n v="3"/>
    <n v="149.99"/>
    <s v="Cash"/>
    <s v="North"/>
    <s v="Premium"/>
    <d v="2022-09-02T00:00:00"/>
    <n v="449.97"/>
    <s v="Apr"/>
    <n v="2024"/>
    <n v="1474"/>
    <n v="45412"/>
    <d v="2026-09-15T23:04:17"/>
  </r>
  <r>
    <s v="TRX0067"/>
    <d v="2024-04-27T00:00:00"/>
    <s v="CUST043"/>
    <x v="11"/>
    <s v="P005"/>
    <s v="Blender"/>
    <s v="Appliances"/>
    <n v="3"/>
    <n v="59.99"/>
    <s v="Credit Card"/>
    <s v="North"/>
    <s v="Standard"/>
    <d v="2024-02-29T00:00:00"/>
    <n v="179.97"/>
    <s v="Apr"/>
    <n v="2024"/>
    <n v="929"/>
    <n v="45412"/>
    <d v="2026-09-15T23:04:17"/>
  </r>
  <r>
    <s v="TRX0191"/>
    <d v="2024-04-27T00:00:00"/>
    <s v="CUST038"/>
    <x v="12"/>
    <s v="P002"/>
    <s v="Smartphone"/>
    <s v="Electronics"/>
    <n v="3"/>
    <n v="699.99"/>
    <s v="Credit Card"/>
    <s v="West"/>
    <s v="Basic"/>
    <d v="2022-01-16T00:00:00"/>
    <n v="2099.9699999999998"/>
    <s v="Apr"/>
    <n v="2024"/>
    <n v="1703"/>
    <n v="45412"/>
    <d v="2026-09-15T23:04:17"/>
  </r>
  <r>
    <s v="TRX0230"/>
    <d v="2024-04-27T00:00:00"/>
    <s v="CUST027"/>
    <x v="13"/>
    <s v="P001"/>
    <s v="Laptop"/>
    <s v="Electronics"/>
    <n v="1"/>
    <n v="899.99"/>
    <s v="Debit Card"/>
    <s v="North"/>
    <s v="Standard"/>
    <d v="2022-12-25T00:00:00"/>
    <n v="899.99"/>
    <s v="Apr"/>
    <n v="2024"/>
    <n v="1360"/>
    <n v="45412"/>
    <d v="2026-09-15T23:04:17"/>
  </r>
  <r>
    <s v="TRX0049"/>
    <d v="2024-04-28T00:00:00"/>
    <s v="CUST025"/>
    <x v="14"/>
    <s v="P008"/>
    <s v="Bookshelf"/>
    <s v="Furniture"/>
    <n v="4"/>
    <n v="149.99"/>
    <s v="Debit Card"/>
    <s v="North"/>
    <s v="Premium"/>
    <d v="2024-03-23T00:00:00"/>
    <n v="599.96"/>
    <s v="Apr"/>
    <n v="2024"/>
    <n v="906"/>
    <n v="45412"/>
    <d v="2026-09-15T23:04:17"/>
  </r>
  <r>
    <s v="TRX0134"/>
    <d v="2024-04-28T00:00:00"/>
    <s v="CUST010"/>
    <x v="15"/>
    <s v="P002"/>
    <s v="Smartphone"/>
    <s v="Electronics"/>
    <n v="2"/>
    <n v="699.99"/>
    <s v="Cash"/>
    <s v="North"/>
    <s v="Basic"/>
    <d v="2022-08-08T00:00:00"/>
    <n v="1399.98"/>
    <s v="Apr"/>
    <n v="2024"/>
    <n v="1499"/>
    <n v="45412"/>
    <d v="2026-09-15T23:04:17"/>
  </r>
  <r>
    <s v="TRX0122"/>
    <d v="2024-04-28T00:00:00"/>
    <s v="CUST025"/>
    <x v="14"/>
    <s v="P001"/>
    <s v="Laptop"/>
    <s v="Electronics"/>
    <n v="4"/>
    <n v="899.99"/>
    <s v="Credit Card"/>
    <s v="West"/>
    <s v="Standard"/>
    <d v="2024-02-05T00:00:00"/>
    <n v="3599.96"/>
    <s v="Apr"/>
    <n v="2024"/>
    <n v="953"/>
    <n v="45412"/>
    <d v="2026-09-15T23:04:17"/>
  </r>
  <r>
    <s v="TRX0222"/>
    <d v="2024-04-28T00:00:00"/>
    <s v="CUST048"/>
    <x v="16"/>
    <s v="P009"/>
    <s v="Monitor"/>
    <s v="Electronics"/>
    <n v="3"/>
    <n v="249.99"/>
    <s v="Credit Card"/>
    <s v="North"/>
    <s v="Premium"/>
    <d v="2023-10-25T00:00:00"/>
    <n v="749.97"/>
    <s v="Apr"/>
    <n v="2024"/>
    <n v="1056"/>
    <n v="45412"/>
    <d v="2026-09-15T23:04:17"/>
  </r>
  <r>
    <s v="TRX0231"/>
    <d v="2024-04-30T00:00:00"/>
    <s v="CUST018"/>
    <x v="17"/>
    <s v="P002"/>
    <s v="Smartphone"/>
    <s v="Electronics"/>
    <n v="5"/>
    <n v="699.99"/>
    <s v="Cash"/>
    <s v="West"/>
    <s v="Basic"/>
    <d v="2023-08-29T00:00:00"/>
    <n v="3499.95"/>
    <s v="Apr"/>
    <n v="2024"/>
    <n v="1113"/>
    <n v="45412"/>
    <d v="2026-09-15T23:04:17"/>
  </r>
  <r>
    <s v="TRX0239"/>
    <d v="2024-05-01T00:00:00"/>
    <s v="CUST012"/>
    <x v="18"/>
    <s v="P002"/>
    <s v="Smartphone"/>
    <s v="Electronics"/>
    <n v="4"/>
    <n v="699.99"/>
    <s v="Cash"/>
    <s v="East"/>
    <s v="Standard"/>
    <d v="2021-08-01T00:00:00"/>
    <n v="2799.96"/>
    <s v="May"/>
    <n v="2024"/>
    <n v="1871"/>
    <n v="45443"/>
    <d v="2026-09-15T23:04:17"/>
  </r>
  <r>
    <s v="TRX0204"/>
    <d v="2024-05-03T00:00:00"/>
    <s v="CUST044"/>
    <x v="19"/>
    <s v="P009"/>
    <s v="Monitor"/>
    <s v="Electronics"/>
    <n v="4"/>
    <n v="249.99"/>
    <s v="PayPal"/>
    <s v="North"/>
    <s v="Standard"/>
    <d v="2021-09-29T00:00:00"/>
    <n v="999.96"/>
    <s v="May"/>
    <n v="2024"/>
    <n v="1812"/>
    <n v="45443"/>
    <d v="2026-09-15T23:04:17"/>
  </r>
  <r>
    <s v="TRX0242"/>
    <d v="2024-05-04T00:00:00"/>
    <s v="CUST025"/>
    <x v="14"/>
    <s v="P007"/>
    <s v="Desk"/>
    <s v="Furniture"/>
    <n v="4"/>
    <n v="299.99"/>
    <s v="Cash"/>
    <s v="West"/>
    <s v="Premium"/>
    <d v="2022-06-04T00:00:00"/>
    <n v="1199.96"/>
    <s v="May"/>
    <n v="2024"/>
    <n v="1564"/>
    <n v="45443"/>
    <d v="2026-09-15T23:04:17"/>
  </r>
  <r>
    <s v="TRX0071"/>
    <d v="2024-05-10T00:00:00"/>
    <s v="CUST036"/>
    <x v="20"/>
    <s v="P009"/>
    <s v="Monitor"/>
    <s v="Electronics"/>
    <n v="5"/>
    <n v="249.99"/>
    <s v="Credit Card"/>
    <s v="West"/>
    <s v="Standard"/>
    <d v="2021-11-25T00:00:00"/>
    <n v="1249.95"/>
    <s v="May"/>
    <n v="2024"/>
    <n v="1755"/>
    <n v="45443"/>
    <d v="2026-09-15T23:04:17"/>
  </r>
  <r>
    <s v="TRX0040"/>
    <d v="2024-05-12T00:00:00"/>
    <s v="CUST022"/>
    <x v="9"/>
    <s v="P007"/>
    <s v="Desk"/>
    <s v="Furniture"/>
    <n v="5"/>
    <n v="299.99"/>
    <s v="PayPal"/>
    <s v="East"/>
    <s v="Basic"/>
    <d v="2023-08-30T00:00:00"/>
    <n v="1499.95"/>
    <s v="May"/>
    <n v="2024"/>
    <n v="1112"/>
    <n v="45443"/>
    <d v="2026-09-15T23:04:17"/>
  </r>
  <r>
    <s v="TRX0235"/>
    <d v="2024-05-12T00:00:00"/>
    <s v="CUST014"/>
    <x v="21"/>
    <s v="P004"/>
    <s v="Coffee Maker"/>
    <s v="Appliances"/>
    <n v="3"/>
    <n v="79.989999999999995"/>
    <s v="PayPal"/>
    <s v="East"/>
    <s v="Premium"/>
    <d v="2023-03-27T00:00:00"/>
    <n v="239.97"/>
    <s v="May"/>
    <n v="2024"/>
    <n v="1268"/>
    <n v="45443"/>
    <d v="2026-09-15T23:04:17"/>
  </r>
  <r>
    <s v="TRX0004"/>
    <d v="2024-05-12T00:00:00"/>
    <s v="CUST012"/>
    <x v="18"/>
    <s v="P010"/>
    <s v="Keyboard"/>
    <s v="Electronics"/>
    <n v="5"/>
    <n v="89.99"/>
    <s v="Cash"/>
    <s v="North"/>
    <s v="Premium"/>
    <d v="2022-12-24T00:00:00"/>
    <n v="449.95"/>
    <s v="May"/>
    <n v="2024"/>
    <n v="1361"/>
    <n v="45443"/>
    <d v="2026-09-15T23:04:17"/>
  </r>
  <r>
    <s v="TRX0063"/>
    <d v="2024-05-13T00:00:00"/>
    <s v="CUST030"/>
    <x v="22"/>
    <s v="P005"/>
    <s v="Blender"/>
    <s v="Appliances"/>
    <n v="2"/>
    <n v="59.99"/>
    <s v="Debit Card"/>
    <s v="Central"/>
    <s v="Standard"/>
    <d v="2023-10-15T00:00:00"/>
    <n v="119.98"/>
    <s v="May"/>
    <n v="2024"/>
    <n v="1066"/>
    <n v="45443"/>
    <d v="2026-09-15T23:04:17"/>
  </r>
  <r>
    <s v="TRX0241"/>
    <d v="2024-05-15T00:00:00"/>
    <s v="CUST029"/>
    <x v="23"/>
    <s v="P005"/>
    <s v="Blender"/>
    <s v="Appliances"/>
    <n v="4"/>
    <n v="59.99"/>
    <s v="Debit Card"/>
    <s v="East"/>
    <s v="Standard"/>
    <d v="2022-11-02T00:00:00"/>
    <n v="239.96"/>
    <s v="May"/>
    <n v="2024"/>
    <n v="1413"/>
    <n v="45443"/>
    <d v="2026-09-15T23:04:17"/>
  </r>
  <r>
    <s v="TRX0029"/>
    <d v="2024-05-15T00:00:00"/>
    <s v="CUST017"/>
    <x v="6"/>
    <s v="P006"/>
    <s v="Office Chair"/>
    <s v="Furniture"/>
    <n v="5"/>
    <n v="199.99"/>
    <s v="Cash"/>
    <s v="South"/>
    <s v="Standard"/>
    <d v="2021-08-04T00:00:00"/>
    <n v="999.95"/>
    <s v="May"/>
    <n v="2024"/>
    <n v="1868"/>
    <n v="45443"/>
    <d v="2026-09-15T23:04:17"/>
  </r>
  <r>
    <s v="TRX0194"/>
    <d v="2024-05-16T00:00:00"/>
    <s v="CUST006"/>
    <x v="24"/>
    <s v="P008"/>
    <s v="Bookshelf"/>
    <s v="Furniture"/>
    <n v="2"/>
    <n v="149.99"/>
    <s v="Credit Card"/>
    <s v="West"/>
    <s v="Basic"/>
    <d v="2022-09-19T00:00:00"/>
    <n v="299.98"/>
    <s v="May"/>
    <n v="2024"/>
    <n v="1457"/>
    <n v="45443"/>
    <d v="2026-09-15T23:04:17"/>
  </r>
  <r>
    <s v="TRX0130"/>
    <d v="2024-05-18T00:00:00"/>
    <s v="CUST002"/>
    <x v="25"/>
    <s v="P008"/>
    <s v="Bookshelf"/>
    <s v="Furniture"/>
    <n v="3"/>
    <n v="149.99"/>
    <s v="Credit Card"/>
    <s v="West"/>
    <s v="Premium"/>
    <d v="2023-05-22T00:00:00"/>
    <n v="449.97"/>
    <s v="May"/>
    <n v="2024"/>
    <n v="1212"/>
    <n v="45443"/>
    <d v="2026-09-15T23:04:17"/>
  </r>
  <r>
    <s v="TRX0041"/>
    <d v="2024-05-20T00:00:00"/>
    <s v="CUST021"/>
    <x v="2"/>
    <s v="P001"/>
    <s v="Laptop"/>
    <s v="Electronics"/>
    <n v="1"/>
    <n v="899.99"/>
    <s v="Credit Card"/>
    <s v="West"/>
    <s v="Premium"/>
    <d v="2022-01-17T00:00:00"/>
    <n v="899.99"/>
    <s v="May"/>
    <n v="2024"/>
    <n v="1702"/>
    <n v="45443"/>
    <d v="2026-09-15T23:04:17"/>
  </r>
  <r>
    <s v="TRX0232"/>
    <d v="2024-05-22T00:00:00"/>
    <s v="CUST012"/>
    <x v="18"/>
    <s v="P007"/>
    <s v="Desk"/>
    <s v="Furniture"/>
    <n v="3"/>
    <n v="299.99"/>
    <s v="Credit Card"/>
    <s v="East"/>
    <s v="Basic"/>
    <d v="2022-09-20T00:00:00"/>
    <n v="899.97"/>
    <s v="May"/>
    <n v="2024"/>
    <n v="1456"/>
    <n v="45443"/>
    <d v="2026-09-15T23:04:17"/>
  </r>
  <r>
    <s v="TRX0021"/>
    <d v="2024-05-23T00:00:00"/>
    <s v="CUST006"/>
    <x v="24"/>
    <s v="P004"/>
    <s v="Coffee Maker"/>
    <s v="Appliances"/>
    <n v="3"/>
    <n v="79.989999999999995"/>
    <s v="Cash"/>
    <s v="South"/>
    <s v="Basic"/>
    <d v="2023-04-30T00:00:00"/>
    <n v="239.97"/>
    <s v="May"/>
    <n v="2024"/>
    <n v="1234"/>
    <n v="45443"/>
    <d v="2026-09-15T23:04:17"/>
  </r>
  <r>
    <s v="TRX0245"/>
    <d v="2024-05-26T00:00:00"/>
    <s v="CUST031"/>
    <x v="26"/>
    <s v="P006"/>
    <s v="Office Chair"/>
    <s v="Furniture"/>
    <n v="3"/>
    <n v="199.99"/>
    <s v="Credit Card"/>
    <s v="North"/>
    <s v="Premium"/>
    <d v="2024-01-01T00:00:00"/>
    <n v="599.97"/>
    <s v="May"/>
    <n v="2024"/>
    <n v="988"/>
    <n v="45443"/>
    <d v="2026-09-15T23:04:17"/>
  </r>
  <r>
    <s v="TRX0015"/>
    <d v="2024-05-28T00:00:00"/>
    <s v="CUST008"/>
    <x v="27"/>
    <s v="P002"/>
    <s v="Smartphone"/>
    <s v="Electronics"/>
    <n v="5"/>
    <n v="699.99"/>
    <s v="PayPal"/>
    <s v="West"/>
    <s v="Standard"/>
    <d v="2021-07-30T00:00:00"/>
    <n v="3499.95"/>
    <s v="May"/>
    <n v="2024"/>
    <n v="1873"/>
    <n v="45443"/>
    <d v="2026-09-15T23:04:17"/>
  </r>
  <r>
    <s v="TRX0202"/>
    <d v="2024-05-29T00:00:00"/>
    <s v="CUST035"/>
    <x v="28"/>
    <s v="P010"/>
    <s v="Keyboard"/>
    <s v="Electronics"/>
    <n v="3"/>
    <n v="89.99"/>
    <s v="PayPal"/>
    <s v="Central"/>
    <s v="Premium"/>
    <d v="2023-07-13T00:00:00"/>
    <n v="269.97000000000003"/>
    <s v="May"/>
    <n v="2024"/>
    <n v="1160"/>
    <n v="45443"/>
    <d v="2026-09-15T23:04:17"/>
  </r>
  <r>
    <s v="TRX0042"/>
    <d v="2024-05-31T00:00:00"/>
    <s v="CUST019"/>
    <x v="29"/>
    <s v="P004"/>
    <s v="Coffee Maker"/>
    <s v="Appliances"/>
    <n v="1"/>
    <n v="79.989999999999995"/>
    <s v="Cash"/>
    <s v="North"/>
    <s v="Standard"/>
    <d v="2022-12-22T00:00:00"/>
    <n v="79.989999999999995"/>
    <s v="May"/>
    <n v="2024"/>
    <n v="1363"/>
    <n v="45443"/>
    <d v="2026-09-15T23:04:17"/>
  </r>
  <r>
    <s v="TRX0128"/>
    <d v="2024-06-01T00:00:00"/>
    <s v="CUST040"/>
    <x v="30"/>
    <s v="P005"/>
    <s v="Blender"/>
    <s v="Appliances"/>
    <n v="2"/>
    <n v="59.99"/>
    <s v="Cash"/>
    <s v="West"/>
    <s v="Basic"/>
    <d v="2024-04-08T00:00:00"/>
    <n v="119.98"/>
    <s v="Jun"/>
    <n v="2024"/>
    <n v="890"/>
    <n v="45473"/>
    <d v="2026-09-15T23:04:17"/>
  </r>
  <r>
    <s v="TRX0117"/>
    <d v="2024-06-01T00:00:00"/>
    <s v="CUST017"/>
    <x v="6"/>
    <s v="P010"/>
    <s v="Keyboard"/>
    <s v="Electronics"/>
    <n v="1"/>
    <n v="89.99"/>
    <s v="Cash"/>
    <s v="North"/>
    <s v="Basic"/>
    <d v="2023-08-03T00:00:00"/>
    <n v="89.99"/>
    <s v="Jun"/>
    <n v="2024"/>
    <n v="1139"/>
    <n v="45473"/>
    <d v="2026-09-15T23:04:17"/>
  </r>
  <r>
    <s v="TRX0208"/>
    <d v="2024-06-03T00:00:00"/>
    <s v="CUST004"/>
    <x v="31"/>
    <s v="P010"/>
    <s v="Keyboard"/>
    <s v="Electronics"/>
    <n v="5"/>
    <n v="89.99"/>
    <s v="Credit Card"/>
    <s v="East"/>
    <s v="Standard"/>
    <d v="2022-01-26T00:00:00"/>
    <n v="449.95"/>
    <s v="Jun"/>
    <n v="2024"/>
    <n v="1693"/>
    <n v="45473"/>
    <d v="2026-09-15T23:04:17"/>
  </r>
  <r>
    <s v="TRX0234"/>
    <d v="2024-06-06T00:00:00"/>
    <s v="CUST013"/>
    <x v="1"/>
    <s v="P009"/>
    <s v="Monitor"/>
    <s v="Electronics"/>
    <n v="5"/>
    <n v="249.99"/>
    <s v="Credit Card"/>
    <s v="East"/>
    <s v="Standard"/>
    <d v="2022-05-26T00:00:00"/>
    <n v="1249.95"/>
    <s v="Jun"/>
    <n v="2024"/>
    <n v="1573"/>
    <n v="45473"/>
    <d v="2026-09-15T23:04:17"/>
  </r>
  <r>
    <s v="TRX0121"/>
    <d v="2024-06-06T00:00:00"/>
    <s v="CUST028"/>
    <x v="32"/>
    <s v="P010"/>
    <s v="Keyboard"/>
    <s v="Electronics"/>
    <n v="1"/>
    <n v="89.99"/>
    <s v="Credit Card"/>
    <s v="South"/>
    <s v="Standard"/>
    <d v="2022-01-21T00:00:00"/>
    <n v="89.99"/>
    <s v="Jun"/>
    <n v="2024"/>
    <n v="1698"/>
    <n v="45473"/>
    <d v="2026-09-15T23:04:17"/>
  </r>
  <r>
    <s v="TRX0220"/>
    <d v="2024-06-07T00:00:00"/>
    <s v="CUST003"/>
    <x v="4"/>
    <s v="P008"/>
    <s v="Bookshelf"/>
    <s v="Furniture"/>
    <n v="2"/>
    <n v="149.99"/>
    <s v="Cash"/>
    <s v="East"/>
    <s v="Premium"/>
    <d v="2022-03-25T00:00:00"/>
    <n v="299.98"/>
    <s v="Jun"/>
    <n v="2024"/>
    <n v="1635"/>
    <n v="45473"/>
    <d v="2026-09-15T23:04:17"/>
  </r>
  <r>
    <s v="TRX0093"/>
    <d v="2024-06-09T00:00:00"/>
    <s v="CUST050"/>
    <x v="33"/>
    <s v="P005"/>
    <s v="Blender"/>
    <s v="Appliances"/>
    <n v="4"/>
    <n v="59.99"/>
    <s v="Cash"/>
    <s v="East"/>
    <s v="Standard"/>
    <d v="2021-08-27T00:00:00"/>
    <n v="239.96"/>
    <s v="Jun"/>
    <n v="2024"/>
    <n v="1845"/>
    <n v="45473"/>
    <d v="2026-09-15T23:04:17"/>
  </r>
  <r>
    <s v="TRX0088"/>
    <d v="2024-06-13T00:00:00"/>
    <s v="CUST006"/>
    <x v="24"/>
    <s v="P010"/>
    <s v="Keyboard"/>
    <s v="Electronics"/>
    <n v="5"/>
    <n v="89.99"/>
    <s v="Cash"/>
    <s v="Central"/>
    <s v="Premium"/>
    <d v="2022-01-18T00:00:00"/>
    <n v="449.95"/>
    <s v="Jun"/>
    <n v="2024"/>
    <n v="1701"/>
    <n v="45473"/>
    <d v="2026-09-15T23:04:17"/>
  </r>
  <r>
    <s v="TRX0115"/>
    <d v="2024-06-16T00:00:00"/>
    <s v="CUST012"/>
    <x v="18"/>
    <s v="P010"/>
    <s v="Keyboard"/>
    <s v="Electronics"/>
    <n v="2"/>
    <n v="89.99"/>
    <s v="Credit Card"/>
    <s v="South"/>
    <s v="Premium"/>
    <d v="2021-10-02T00:00:00"/>
    <n v="179.98"/>
    <s v="Jun"/>
    <n v="2024"/>
    <n v="1809"/>
    <n v="45473"/>
    <d v="2026-09-15T23:04:17"/>
  </r>
  <r>
    <s v="TRX0154"/>
    <d v="2024-06-16T00:00:00"/>
    <s v="CUST023"/>
    <x v="0"/>
    <s v="P001"/>
    <s v="Laptop"/>
    <s v="Electronics"/>
    <n v="5"/>
    <n v="899.99"/>
    <s v="Credit Card"/>
    <s v="South"/>
    <s v="Standard"/>
    <d v="2023-02-17T00:00:00"/>
    <n v="4499.95"/>
    <s v="Jun"/>
    <n v="2024"/>
    <n v="1306"/>
    <n v="45473"/>
    <d v="2026-09-15T23:04:17"/>
  </r>
  <r>
    <s v="TRX0044"/>
    <d v="2024-06-16T00:00:00"/>
    <s v="CUST029"/>
    <x v="23"/>
    <s v="P001"/>
    <s v="Laptop"/>
    <s v="Electronics"/>
    <n v="5"/>
    <n v="899.99"/>
    <s v="PayPal"/>
    <s v="East"/>
    <s v="Premium"/>
    <d v="2023-12-18T00:00:00"/>
    <n v="4499.95"/>
    <s v="Jun"/>
    <n v="2024"/>
    <n v="1002"/>
    <n v="45473"/>
    <d v="2026-09-15T23:04:17"/>
  </r>
  <r>
    <s v="TRX0061"/>
    <d v="2024-06-17T00:00:00"/>
    <s v="CUST028"/>
    <x v="32"/>
    <s v="P005"/>
    <s v="Blender"/>
    <s v="Appliances"/>
    <n v="1"/>
    <n v="59.99"/>
    <s v="Debit Card"/>
    <s v="West"/>
    <s v="Premium"/>
    <d v="2023-09-21T00:00:00"/>
    <n v="59.99"/>
    <s v="Jun"/>
    <n v="2024"/>
    <n v="1090"/>
    <n v="45473"/>
    <d v="2026-09-15T23:04:17"/>
  </r>
  <r>
    <s v="TRX0150"/>
    <d v="2024-06-17T00:00:00"/>
    <s v="CUST008"/>
    <x v="27"/>
    <s v="P007"/>
    <s v="Desk"/>
    <s v="Furniture"/>
    <n v="2"/>
    <n v="299.99"/>
    <s v="Debit Card"/>
    <s v="East"/>
    <s v="Standard"/>
    <d v="2023-11-23T00:00:00"/>
    <n v="599.98"/>
    <s v="Jun"/>
    <n v="2024"/>
    <n v="1027"/>
    <n v="45473"/>
    <d v="2026-09-15T23:04:17"/>
  </r>
  <r>
    <s v="TRX0025"/>
    <d v="2024-06-25T00:00:00"/>
    <s v="CUST049"/>
    <x v="34"/>
    <s v="P010"/>
    <s v="Keyboard"/>
    <s v="Electronics"/>
    <n v="4"/>
    <n v="89.99"/>
    <s v="Debit Card"/>
    <s v="South"/>
    <s v="Basic"/>
    <d v="2023-12-21T00:00:00"/>
    <n v="359.96"/>
    <s v="Jun"/>
    <n v="2024"/>
    <n v="999"/>
    <n v="45473"/>
    <d v="2026-09-15T23:04:17"/>
  </r>
  <r>
    <s v="TRX0078"/>
    <d v="2024-06-26T00:00:00"/>
    <s v="CUST021"/>
    <x v="2"/>
    <s v="P004"/>
    <s v="Coffee Maker"/>
    <s v="Appliances"/>
    <n v="1"/>
    <n v="79.989999999999995"/>
    <s v="PayPal"/>
    <s v="Central"/>
    <s v="Premium"/>
    <d v="2024-03-01T00:00:00"/>
    <n v="79.989999999999995"/>
    <s v="Jun"/>
    <n v="2024"/>
    <n v="928"/>
    <n v="45473"/>
    <d v="2026-09-15T23:04:17"/>
  </r>
  <r>
    <s v="TRX0007"/>
    <d v="2024-06-26T00:00:00"/>
    <s v="CUST009"/>
    <x v="7"/>
    <s v="P010"/>
    <s v="Keyboard"/>
    <s v="Electronics"/>
    <n v="2"/>
    <n v="89.99"/>
    <s v="Cash"/>
    <s v="West"/>
    <s v="Basic"/>
    <d v="2021-08-30T00:00:00"/>
    <n v="179.98"/>
    <s v="Jun"/>
    <n v="2024"/>
    <n v="1842"/>
    <n v="45473"/>
    <d v="2026-09-15T23:04:17"/>
  </r>
  <r>
    <s v="TRX0184"/>
    <d v="2024-06-28T00:00:00"/>
    <s v="CUST046"/>
    <x v="3"/>
    <s v="P002"/>
    <s v="Smartphone"/>
    <s v="Electronics"/>
    <n v="3"/>
    <n v="699.99"/>
    <s v="Credit Card"/>
    <s v="East"/>
    <s v="Premium"/>
    <d v="2023-06-25T00:00:00"/>
    <n v="2099.9699999999998"/>
    <s v="Jun"/>
    <n v="2024"/>
    <n v="1178"/>
    <n v="45473"/>
    <d v="2026-09-15T23:04:17"/>
  </r>
  <r>
    <s v="TRX0104"/>
    <d v="2024-06-28T00:00:00"/>
    <s v="CUST012"/>
    <x v="18"/>
    <s v="P001"/>
    <s v="Laptop"/>
    <s v="Electronics"/>
    <n v="4"/>
    <n v="899.99"/>
    <s v="Credit Card"/>
    <s v="East"/>
    <s v="Premium"/>
    <d v="2023-03-08T00:00:00"/>
    <n v="3599.96"/>
    <s v="Jun"/>
    <n v="2024"/>
    <n v="1287"/>
    <n v="45473"/>
    <d v="2026-09-15T23:04:17"/>
  </r>
  <r>
    <s v="TRX0127"/>
    <d v="2024-06-29T00:00:00"/>
    <s v="CUST030"/>
    <x v="22"/>
    <s v="P008"/>
    <s v="Bookshelf"/>
    <s v="Furniture"/>
    <n v="1"/>
    <n v="149.99"/>
    <s v="PayPal"/>
    <s v="East"/>
    <s v="Basic"/>
    <d v="2022-10-17T00:00:00"/>
    <n v="149.99"/>
    <s v="Jun"/>
    <n v="2024"/>
    <n v="1429"/>
    <n v="45473"/>
    <d v="2026-09-15T23:04:17"/>
  </r>
  <r>
    <s v="TRX0096"/>
    <d v="2024-07-01T00:00:00"/>
    <s v="CUST002"/>
    <x v="25"/>
    <s v="P010"/>
    <s v="Keyboard"/>
    <s v="Electronics"/>
    <n v="2"/>
    <n v="89.99"/>
    <s v="PayPal"/>
    <s v="Central"/>
    <s v="Premium"/>
    <d v="2023-12-15T00:00:00"/>
    <n v="179.98"/>
    <s v="Jul"/>
    <n v="2024"/>
    <n v="1005"/>
    <n v="45504"/>
    <d v="2026-09-15T23:04:17"/>
  </r>
  <r>
    <s v="TRX0192"/>
    <d v="2024-07-02T00:00:00"/>
    <s v="CUST017"/>
    <x v="6"/>
    <s v="P010"/>
    <s v="Keyboard"/>
    <s v="Electronics"/>
    <n v="1"/>
    <n v="89.99"/>
    <s v="PayPal"/>
    <s v="West"/>
    <s v="Standard"/>
    <d v="2022-08-29T00:00:00"/>
    <n v="89.99"/>
    <s v="Jul"/>
    <n v="2024"/>
    <n v="1478"/>
    <n v="45504"/>
    <d v="2026-09-15T23:04:17"/>
  </r>
  <r>
    <s v="TRX0052"/>
    <d v="2024-07-03T00:00:00"/>
    <s v="CUST022"/>
    <x v="9"/>
    <s v="P010"/>
    <s v="Keyboard"/>
    <s v="Electronics"/>
    <n v="1"/>
    <n v="89.99"/>
    <s v="Cash"/>
    <s v="South"/>
    <s v="Standard"/>
    <d v="2022-02-19T00:00:00"/>
    <n v="89.99"/>
    <s v="Jul"/>
    <n v="2024"/>
    <n v="1669"/>
    <n v="45504"/>
    <d v="2026-09-15T23:04:17"/>
  </r>
  <r>
    <s v="TRX0070"/>
    <d v="2024-07-03T00:00:00"/>
    <s v="CUST007"/>
    <x v="35"/>
    <s v="P004"/>
    <s v="Coffee Maker"/>
    <s v="Appliances"/>
    <n v="5"/>
    <n v="79.989999999999995"/>
    <s v="Debit Card"/>
    <s v="Central"/>
    <s v="Basic"/>
    <d v="2023-02-24T00:00:00"/>
    <n v="399.95"/>
    <s v="Jul"/>
    <n v="2024"/>
    <n v="1299"/>
    <n v="45504"/>
    <d v="2026-09-15T23:04:17"/>
  </r>
  <r>
    <s v="TRX0086"/>
    <d v="2024-07-08T00:00:00"/>
    <s v="CUST020"/>
    <x v="36"/>
    <s v="P008"/>
    <s v="Bookshelf"/>
    <s v="Furniture"/>
    <n v="1"/>
    <n v="149.99"/>
    <s v="PayPal"/>
    <s v="North"/>
    <s v="Basic"/>
    <d v="2021-08-13T00:00:00"/>
    <n v="149.99"/>
    <s v="Jul"/>
    <n v="2024"/>
    <n v="1859"/>
    <n v="45504"/>
    <d v="2026-09-15T23:04:17"/>
  </r>
  <r>
    <s v="TRX0113"/>
    <d v="2024-07-08T00:00:00"/>
    <s v="CUST003"/>
    <x v="4"/>
    <s v="P002"/>
    <s v="Smartphone"/>
    <s v="Electronics"/>
    <n v="2"/>
    <n v="699.99"/>
    <s v="PayPal"/>
    <s v="East"/>
    <s v="Premium"/>
    <d v="2024-04-07T00:00:00"/>
    <n v="1399.98"/>
    <s v="Jul"/>
    <n v="2024"/>
    <n v="891"/>
    <n v="45504"/>
    <d v="2026-09-15T23:04:17"/>
  </r>
  <r>
    <s v="TRX0114"/>
    <d v="2024-07-08T00:00:00"/>
    <s v="CUST018"/>
    <x v="17"/>
    <s v="P010"/>
    <s v="Keyboard"/>
    <s v="Electronics"/>
    <n v="5"/>
    <n v="89.99"/>
    <s v="Debit Card"/>
    <s v="North"/>
    <s v="Premium"/>
    <d v="2023-08-23T00:00:00"/>
    <n v="449.95"/>
    <s v="Jul"/>
    <n v="2024"/>
    <n v="1119"/>
    <n v="45504"/>
    <d v="2026-09-15T23:04:17"/>
  </r>
  <r>
    <s v="TRX0136"/>
    <d v="2024-07-09T00:00:00"/>
    <s v="CUST049"/>
    <x v="34"/>
    <s v="P005"/>
    <s v="Blender"/>
    <s v="Appliances"/>
    <n v="4"/>
    <n v="59.99"/>
    <s v="Cash"/>
    <s v="South"/>
    <s v="Standard"/>
    <d v="2021-11-09T00:00:00"/>
    <n v="239.96"/>
    <s v="Jul"/>
    <n v="2024"/>
    <n v="1771"/>
    <n v="45504"/>
    <d v="2026-09-15T23:04:17"/>
  </r>
  <r>
    <s v="TRX0018"/>
    <d v="2024-07-11T00:00:00"/>
    <s v="CUST013"/>
    <x v="1"/>
    <s v="P003"/>
    <s v="Headphones"/>
    <s v="Electronics"/>
    <n v="1"/>
    <n v="149.99"/>
    <s v="Cash"/>
    <s v="Central"/>
    <s v="Standard"/>
    <d v="2022-12-14T00:00:00"/>
    <n v="149.99"/>
    <s v="Jul"/>
    <n v="2024"/>
    <n v="1371"/>
    <n v="45504"/>
    <d v="2026-09-15T23:04:17"/>
  </r>
  <r>
    <s v="TRX0141"/>
    <d v="2024-07-11T00:00:00"/>
    <s v="CUST033"/>
    <x v="37"/>
    <s v="P007"/>
    <s v="Desk"/>
    <s v="Furniture"/>
    <n v="1"/>
    <n v="299.99"/>
    <s v="Credit Card"/>
    <s v="North"/>
    <s v="Premium"/>
    <d v="2022-11-26T00:00:00"/>
    <n v="299.99"/>
    <s v="Jul"/>
    <n v="2024"/>
    <n v="1389"/>
    <n v="45504"/>
    <d v="2026-09-15T23:04:17"/>
  </r>
  <r>
    <s v="TRX0097"/>
    <d v="2024-07-14T00:00:00"/>
    <s v="CUST033"/>
    <x v="37"/>
    <s v="P006"/>
    <s v="Office Chair"/>
    <s v="Furniture"/>
    <n v="2"/>
    <n v="199.99"/>
    <s v="Cash"/>
    <s v="North"/>
    <s v="Basic"/>
    <d v="2021-12-11T00:00:00"/>
    <n v="399.98"/>
    <s v="Jul"/>
    <n v="2024"/>
    <n v="1739"/>
    <n v="45504"/>
    <d v="2026-09-15T23:04:17"/>
  </r>
  <r>
    <s v="TRX0169"/>
    <d v="2024-07-17T00:00:00"/>
    <s v="CUST047"/>
    <x v="38"/>
    <s v="P005"/>
    <s v="Blender"/>
    <s v="Appliances"/>
    <n v="3"/>
    <n v="59.99"/>
    <s v="Credit Card"/>
    <s v="West"/>
    <s v="Basic"/>
    <d v="2023-07-23T00:00:00"/>
    <n v="179.97"/>
    <s v="Jul"/>
    <n v="2024"/>
    <n v="1150"/>
    <n v="45504"/>
    <d v="2026-09-15T23:04:17"/>
  </r>
  <r>
    <s v="TRX0216"/>
    <d v="2024-07-17T00:00:00"/>
    <s v="CUST041"/>
    <x v="10"/>
    <s v="P008"/>
    <s v="Bookshelf"/>
    <s v="Furniture"/>
    <n v="3"/>
    <n v="149.99"/>
    <s v="Cash"/>
    <s v="Central"/>
    <s v="Premium"/>
    <d v="2023-09-30T00:00:00"/>
    <n v="449.97"/>
    <s v="Jul"/>
    <n v="2024"/>
    <n v="1081"/>
    <n v="45504"/>
    <d v="2026-09-15T23:04:17"/>
  </r>
  <r>
    <s v="TRX0131"/>
    <d v="2024-07-18T00:00:00"/>
    <s v="CUST026"/>
    <x v="8"/>
    <s v="P006"/>
    <s v="Office Chair"/>
    <s v="Furniture"/>
    <n v="3"/>
    <n v="199.99"/>
    <s v="Cash"/>
    <s v="North"/>
    <s v="Premium"/>
    <d v="2023-11-24T00:00:00"/>
    <n v="599.97"/>
    <s v="Jul"/>
    <n v="2024"/>
    <n v="1026"/>
    <n v="45504"/>
    <d v="2026-09-15T23:04:17"/>
  </r>
  <r>
    <s v="TRX0162"/>
    <d v="2024-07-23T00:00:00"/>
    <s v="CUST040"/>
    <x v="30"/>
    <s v="P001"/>
    <s v="Laptop"/>
    <s v="Electronics"/>
    <n v="1"/>
    <n v="899.99"/>
    <s v="Cash"/>
    <s v="Central"/>
    <s v="Standard"/>
    <d v="2023-09-10T00:00:00"/>
    <n v="899.99"/>
    <s v="Jul"/>
    <n v="2024"/>
    <n v="1101"/>
    <n v="45504"/>
    <d v="2026-09-15T23:04:17"/>
  </r>
  <r>
    <s v="TRX0244"/>
    <d v="2024-07-24T00:00:00"/>
    <s v="CUST013"/>
    <x v="1"/>
    <s v="P001"/>
    <s v="Laptop"/>
    <s v="Electronics"/>
    <n v="5"/>
    <n v="899.99"/>
    <s v="Debit Card"/>
    <s v="South"/>
    <s v="Standard"/>
    <d v="2022-12-04T00:00:00"/>
    <n v="4499.95"/>
    <s v="Jul"/>
    <n v="2024"/>
    <n v="1381"/>
    <n v="45504"/>
    <d v="2026-09-15T23:04:17"/>
  </r>
  <r>
    <s v="TRX0006"/>
    <d v="2024-07-25T00:00:00"/>
    <s v="CUST007"/>
    <x v="35"/>
    <s v="P005"/>
    <s v="Blender"/>
    <s v="Appliances"/>
    <n v="2"/>
    <n v="59.99"/>
    <s v="Cash"/>
    <s v="North"/>
    <s v="Standard"/>
    <d v="2023-08-14T00:00:00"/>
    <n v="119.98"/>
    <s v="Jul"/>
    <n v="2024"/>
    <n v="1128"/>
    <n v="45504"/>
    <d v="2026-09-15T23:04:17"/>
  </r>
  <r>
    <s v="TRX0215"/>
    <d v="2024-07-25T00:00:00"/>
    <s v="CUST047"/>
    <x v="38"/>
    <s v="P009"/>
    <s v="Monitor"/>
    <s v="Electronics"/>
    <n v="4"/>
    <n v="249.99"/>
    <s v="Debit Card"/>
    <s v="Central"/>
    <s v="Standard"/>
    <d v="2023-07-20T00:00:00"/>
    <n v="999.96"/>
    <s v="Jul"/>
    <n v="2024"/>
    <n v="1153"/>
    <n v="45504"/>
    <d v="2026-09-15T23:04:17"/>
  </r>
  <r>
    <s v="TRX0080"/>
    <d v="2024-07-27T00:00:00"/>
    <s v="CUST018"/>
    <x v="17"/>
    <s v="P009"/>
    <s v="Monitor"/>
    <s v="Electronics"/>
    <n v="2"/>
    <n v="249.99"/>
    <s v="Cash"/>
    <s v="North"/>
    <s v="Premium"/>
    <d v="2023-08-26T00:00:00"/>
    <n v="499.98"/>
    <s v="Jul"/>
    <n v="2024"/>
    <n v="1116"/>
    <n v="45504"/>
    <d v="2026-09-15T23:04:17"/>
  </r>
  <r>
    <s v="TRX0228"/>
    <d v="2024-07-27T00:00:00"/>
    <s v="CUST019"/>
    <x v="29"/>
    <s v="P007"/>
    <s v="Desk"/>
    <s v="Furniture"/>
    <n v="1"/>
    <n v="299.99"/>
    <s v="Cash"/>
    <s v="South"/>
    <s v="Basic"/>
    <d v="2023-02-25T00:00:00"/>
    <n v="299.99"/>
    <s v="Jul"/>
    <n v="2024"/>
    <n v="1298"/>
    <n v="45504"/>
    <d v="2026-09-15T23:04:17"/>
  </r>
  <r>
    <s v="TRX0157"/>
    <d v="2024-07-28T00:00:00"/>
    <s v="CUST025"/>
    <x v="14"/>
    <s v="P010"/>
    <s v="Keyboard"/>
    <s v="Electronics"/>
    <n v="2"/>
    <n v="89.99"/>
    <s v="PayPal"/>
    <s v="South"/>
    <s v="Basic"/>
    <d v="2023-02-19T00:00:00"/>
    <n v="179.98"/>
    <s v="Jul"/>
    <n v="2024"/>
    <n v="1304"/>
    <n v="45504"/>
    <d v="2026-09-15T23:04:17"/>
  </r>
  <r>
    <s v="TRX0002"/>
    <d v="2024-07-28T00:00:00"/>
    <s v="CUST019"/>
    <x v="29"/>
    <s v="P007"/>
    <s v="Desk"/>
    <s v="Furniture"/>
    <n v="3"/>
    <n v="299.99"/>
    <s v="Cash"/>
    <s v="Central"/>
    <s v="Basic"/>
    <d v="2022-06-20T00:00:00"/>
    <n v="899.97"/>
    <s v="Jul"/>
    <n v="2024"/>
    <n v="1548"/>
    <n v="45504"/>
    <d v="2026-09-15T23:04:17"/>
  </r>
  <r>
    <s v="TRX0217"/>
    <d v="2024-07-30T00:00:00"/>
    <s v="CUST025"/>
    <x v="14"/>
    <s v="P002"/>
    <s v="Smartphone"/>
    <s v="Electronics"/>
    <n v="2"/>
    <n v="699.99"/>
    <s v="Credit Card"/>
    <s v="North"/>
    <s v="Premium"/>
    <d v="2023-03-14T00:00:00"/>
    <n v="1399.98"/>
    <s v="Jul"/>
    <n v="2024"/>
    <n v="1281"/>
    <n v="45504"/>
    <d v="2026-09-15T23:04:17"/>
  </r>
  <r>
    <s v="TRX0249"/>
    <d v="2024-07-31T00:00:00"/>
    <s v="CUST030"/>
    <x v="22"/>
    <s v="P001"/>
    <s v="Laptop"/>
    <s v="Electronics"/>
    <n v="4"/>
    <n v="899.99"/>
    <s v="Debit Card"/>
    <s v="South"/>
    <s v="Standard"/>
    <d v="2021-11-23T00:00:00"/>
    <n v="3599.96"/>
    <s v="Jul"/>
    <n v="2024"/>
    <n v="1757"/>
    <n v="45504"/>
    <d v="2026-09-15T23:04:17"/>
  </r>
  <r>
    <s v="TRX0065"/>
    <d v="2024-08-05T00:00:00"/>
    <s v="CUST016"/>
    <x v="39"/>
    <s v="P008"/>
    <s v="Bookshelf"/>
    <s v="Furniture"/>
    <n v="2"/>
    <n v="149.99"/>
    <s v="Credit Card"/>
    <s v="West"/>
    <s v="Basic"/>
    <d v="2021-12-12T00:00:00"/>
    <n v="299.98"/>
    <s v="Aug"/>
    <n v="2024"/>
    <n v="1738"/>
    <n v="45535"/>
    <d v="2026-09-15T23:04:17"/>
  </r>
  <r>
    <s v="TRX0176"/>
    <d v="2024-08-06T00:00:00"/>
    <s v="CUST044"/>
    <x v="19"/>
    <s v="P008"/>
    <s v="Bookshelf"/>
    <s v="Furniture"/>
    <n v="2"/>
    <n v="149.99"/>
    <s v="Debit Card"/>
    <s v="East"/>
    <s v="Standard"/>
    <d v="2022-04-16T00:00:00"/>
    <n v="299.98"/>
    <s v="Aug"/>
    <n v="2024"/>
    <n v="1613"/>
    <n v="45535"/>
    <d v="2026-09-15T23:04:17"/>
  </r>
  <r>
    <s v="TRX0101"/>
    <d v="2024-08-09T00:00:00"/>
    <s v="CUST010"/>
    <x v="15"/>
    <s v="P010"/>
    <s v="Keyboard"/>
    <s v="Electronics"/>
    <n v="1"/>
    <n v="89.99"/>
    <s v="Credit Card"/>
    <s v="North"/>
    <s v="Standard"/>
    <d v="2024-04-11T00:00:00"/>
    <n v="89.99"/>
    <s v="Aug"/>
    <n v="2024"/>
    <n v="887"/>
    <n v="45535"/>
    <d v="2026-09-15T23:04:17"/>
  </r>
  <r>
    <s v="TRX0205"/>
    <d v="2024-08-11T00:00:00"/>
    <s v="CUST025"/>
    <x v="14"/>
    <s v="P007"/>
    <s v="Desk"/>
    <s v="Furniture"/>
    <n v="5"/>
    <n v="299.99"/>
    <s v="Credit Card"/>
    <s v="North"/>
    <s v="Basic"/>
    <d v="2023-02-08T00:00:00"/>
    <n v="1499.95"/>
    <s v="Aug"/>
    <n v="2024"/>
    <n v="1315"/>
    <n v="45535"/>
    <d v="2026-09-15T23:04:17"/>
  </r>
  <r>
    <s v="TRX0020"/>
    <d v="2024-08-13T00:00:00"/>
    <s v="CUST007"/>
    <x v="35"/>
    <s v="P003"/>
    <s v="Headphones"/>
    <s v="Electronics"/>
    <n v="4"/>
    <n v="149.99"/>
    <s v="Debit Card"/>
    <s v="South"/>
    <s v="Premium"/>
    <d v="2022-09-16T00:00:00"/>
    <n v="599.96"/>
    <s v="Aug"/>
    <n v="2024"/>
    <n v="1460"/>
    <n v="45535"/>
    <d v="2026-09-15T23:04:17"/>
  </r>
  <r>
    <s v="TRX0075"/>
    <d v="2024-08-13T00:00:00"/>
    <s v="CUST020"/>
    <x v="36"/>
    <s v="P009"/>
    <s v="Monitor"/>
    <s v="Electronics"/>
    <n v="5"/>
    <n v="249.99"/>
    <s v="PayPal"/>
    <s v="East"/>
    <s v="Premium"/>
    <d v="2022-08-09T00:00:00"/>
    <n v="1249.95"/>
    <s v="Aug"/>
    <n v="2024"/>
    <n v="1498"/>
    <n v="45535"/>
    <d v="2026-09-15T23:04:17"/>
  </r>
  <r>
    <s v="TRX0098"/>
    <d v="2024-08-13T00:00:00"/>
    <s v="CUST026"/>
    <x v="8"/>
    <s v="P009"/>
    <s v="Monitor"/>
    <s v="Electronics"/>
    <n v="3"/>
    <n v="249.99"/>
    <s v="PayPal"/>
    <s v="North"/>
    <s v="Premium"/>
    <d v="2021-09-26T00:00:00"/>
    <n v="749.97"/>
    <s v="Aug"/>
    <n v="2024"/>
    <n v="1815"/>
    <n v="45535"/>
    <d v="2026-09-15T23:04:17"/>
  </r>
  <r>
    <s v="TRX0247"/>
    <d v="2024-08-13T00:00:00"/>
    <s v="CUST046"/>
    <x v="3"/>
    <s v="P006"/>
    <s v="Office Chair"/>
    <s v="Furniture"/>
    <n v="4"/>
    <n v="199.99"/>
    <s v="Cash"/>
    <s v="North"/>
    <s v="Standard"/>
    <d v="2021-09-19T00:00:00"/>
    <n v="799.96"/>
    <s v="Aug"/>
    <n v="2024"/>
    <n v="1822"/>
    <n v="45535"/>
    <d v="2026-09-15T23:04:17"/>
  </r>
  <r>
    <s v="TRX0027"/>
    <d v="2024-08-15T00:00:00"/>
    <s v="CUST028"/>
    <x v="32"/>
    <s v="P006"/>
    <s v="Office Chair"/>
    <s v="Furniture"/>
    <n v="5"/>
    <n v="199.99"/>
    <s v="Cash"/>
    <s v="North"/>
    <s v="Premium"/>
    <d v="2023-03-06T00:00:00"/>
    <n v="999.95"/>
    <s v="Aug"/>
    <n v="2024"/>
    <n v="1289"/>
    <n v="45535"/>
    <d v="2026-09-15T23:04:17"/>
  </r>
  <r>
    <s v="TRX0140"/>
    <d v="2024-08-18T00:00:00"/>
    <s v="CUST025"/>
    <x v="14"/>
    <s v="P010"/>
    <s v="Keyboard"/>
    <s v="Electronics"/>
    <n v="2"/>
    <n v="89.99"/>
    <s v="Cash"/>
    <s v="East"/>
    <s v="Premium"/>
    <d v="2023-02-15T00:00:00"/>
    <n v="179.98"/>
    <s v="Aug"/>
    <n v="2024"/>
    <n v="1308"/>
    <n v="45535"/>
    <d v="2026-09-15T23:04:17"/>
  </r>
  <r>
    <s v="TRX0132"/>
    <d v="2024-08-19T00:00:00"/>
    <s v="CUST047"/>
    <x v="38"/>
    <s v="P001"/>
    <s v="Laptop"/>
    <s v="Electronics"/>
    <n v="5"/>
    <n v="899.99"/>
    <s v="Debit Card"/>
    <s v="East"/>
    <s v="Basic"/>
    <d v="2021-11-26T00:00:00"/>
    <n v="4499.95"/>
    <s v="Aug"/>
    <n v="2024"/>
    <n v="1754"/>
    <n v="45535"/>
    <d v="2026-09-15T23:04:17"/>
  </r>
  <r>
    <s v="TRX0031"/>
    <d v="2024-08-19T00:00:00"/>
    <s v="CUST036"/>
    <x v="20"/>
    <s v="P003"/>
    <s v="Headphones"/>
    <s v="Electronics"/>
    <n v="3"/>
    <n v="149.99"/>
    <s v="PayPal"/>
    <s v="East"/>
    <s v="Basic"/>
    <d v="2022-01-13T00:00:00"/>
    <n v="449.97"/>
    <s v="Aug"/>
    <n v="2024"/>
    <n v="1706"/>
    <n v="45535"/>
    <d v="2026-09-15T23:04:17"/>
  </r>
  <r>
    <s v="TRX0236"/>
    <d v="2024-08-22T00:00:00"/>
    <s v="CUST044"/>
    <x v="19"/>
    <s v="P008"/>
    <s v="Bookshelf"/>
    <s v="Furniture"/>
    <n v="5"/>
    <n v="149.99"/>
    <s v="Credit Card"/>
    <s v="Central"/>
    <s v="Basic"/>
    <d v="2024-01-19T00:00:00"/>
    <n v="749.95"/>
    <s v="Aug"/>
    <n v="2024"/>
    <n v="970"/>
    <n v="45535"/>
    <d v="2026-09-15T23:04:17"/>
  </r>
  <r>
    <s v="TRX0001"/>
    <d v="2024-08-24T00:00:00"/>
    <s v="CUST039"/>
    <x v="40"/>
    <s v="P004"/>
    <s v="Coffee Maker"/>
    <s v="Appliances"/>
    <n v="3"/>
    <n v="79.989999999999995"/>
    <s v="Cash"/>
    <s v="Central"/>
    <s v="Premium"/>
    <d v="2022-08-06T00:00:00"/>
    <n v="239.97"/>
    <s v="Aug"/>
    <n v="2024"/>
    <n v="1501"/>
    <n v="45535"/>
    <d v="2026-09-15T23:04:17"/>
  </r>
  <r>
    <s v="TRX0037"/>
    <d v="2024-08-24T00:00:00"/>
    <s v="CUST035"/>
    <x v="28"/>
    <s v="P009"/>
    <s v="Monitor"/>
    <s v="Electronics"/>
    <n v="2"/>
    <n v="249.99"/>
    <s v="Cash"/>
    <s v="South"/>
    <s v="Standard"/>
    <d v="2022-01-11T00:00:00"/>
    <n v="499.98"/>
    <s v="Aug"/>
    <n v="2024"/>
    <n v="1708"/>
    <n v="45535"/>
    <d v="2026-09-15T23:04:17"/>
  </r>
  <r>
    <s v="TRX0058"/>
    <d v="2024-08-28T00:00:00"/>
    <s v="CUST047"/>
    <x v="38"/>
    <s v="P002"/>
    <s v="Smartphone"/>
    <s v="Electronics"/>
    <n v="1"/>
    <n v="699.99"/>
    <s v="Cash"/>
    <s v="Central"/>
    <s v="Premium"/>
    <d v="2021-10-28T00:00:00"/>
    <n v="699.99"/>
    <s v="Aug"/>
    <n v="2024"/>
    <n v="1783"/>
    <n v="45535"/>
    <d v="2026-09-15T23:04:17"/>
  </r>
  <r>
    <s v="TRX0170"/>
    <d v="2024-08-28T00:00:00"/>
    <s v="CUST034"/>
    <x v="41"/>
    <s v="P003"/>
    <s v="Headphones"/>
    <s v="Electronics"/>
    <n v="3"/>
    <n v="149.99"/>
    <s v="Cash"/>
    <s v="West"/>
    <s v="Premium"/>
    <d v="2023-10-13T00:00:00"/>
    <n v="449.97"/>
    <s v="Aug"/>
    <n v="2024"/>
    <n v="1068"/>
    <n v="45535"/>
    <d v="2026-09-15T23:04:17"/>
  </r>
  <r>
    <s v="TRX0248"/>
    <d v="2024-08-30T00:00:00"/>
    <s v="CUST032"/>
    <x v="42"/>
    <s v="P002"/>
    <s v="Smartphone"/>
    <s v="Electronics"/>
    <n v="2"/>
    <n v="699.99"/>
    <s v="Credit Card"/>
    <s v="North"/>
    <s v="Premium"/>
    <d v="2021-08-13T00:00:00"/>
    <n v="1399.98"/>
    <s v="Aug"/>
    <n v="2024"/>
    <n v="1859"/>
    <n v="45535"/>
    <d v="2026-09-15T23:04:17"/>
  </r>
  <r>
    <s v="TRX0099"/>
    <d v="2024-09-02T00:00:00"/>
    <s v="CUST034"/>
    <x v="41"/>
    <s v="P009"/>
    <s v="Monitor"/>
    <s v="Electronics"/>
    <n v="1"/>
    <n v="249.99"/>
    <s v="Credit Card"/>
    <s v="West"/>
    <s v="Premium"/>
    <d v="2022-05-04T00:00:00"/>
    <n v="249.99"/>
    <s v="Sep"/>
    <n v="2024"/>
    <n v="1595"/>
    <n v="45565"/>
    <d v="2026-09-15T23:04:17"/>
  </r>
  <r>
    <s v="TRX0074"/>
    <d v="2024-09-02T00:00:00"/>
    <s v="CUST023"/>
    <x v="0"/>
    <s v="P009"/>
    <s v="Monitor"/>
    <s v="Electronics"/>
    <n v="1"/>
    <n v="249.99"/>
    <s v="Debit Card"/>
    <s v="North"/>
    <s v="Premium"/>
    <d v="2024-02-10T00:00:00"/>
    <n v="249.99"/>
    <s v="Sep"/>
    <n v="2024"/>
    <n v="948"/>
    <n v="45565"/>
    <d v="2026-09-15T23:04:17"/>
  </r>
  <r>
    <s v="TRX0225"/>
    <d v="2024-09-03T00:00:00"/>
    <s v="CUST039"/>
    <x v="40"/>
    <s v="P002"/>
    <s v="Smartphone"/>
    <s v="Electronics"/>
    <n v="2"/>
    <n v="699.99"/>
    <s v="Debit Card"/>
    <s v="Central"/>
    <s v="Premium"/>
    <d v="2022-11-05T00:00:00"/>
    <n v="1399.98"/>
    <s v="Sep"/>
    <n v="2024"/>
    <n v="1410"/>
    <n v="45565"/>
    <d v="2026-09-15T23:04:17"/>
  </r>
  <r>
    <s v="TRX0100"/>
    <d v="2024-09-06T00:00:00"/>
    <s v="CUST031"/>
    <x v="26"/>
    <s v="P005"/>
    <s v="Blender"/>
    <s v="Appliances"/>
    <n v="3"/>
    <n v="59.99"/>
    <s v="Credit Card"/>
    <s v="Central"/>
    <s v="Premium"/>
    <d v="2022-06-05T00:00:00"/>
    <n v="179.97"/>
    <s v="Sep"/>
    <n v="2024"/>
    <n v="1563"/>
    <n v="45565"/>
    <d v="2026-09-15T23:04:17"/>
  </r>
  <r>
    <s v="TRX0142"/>
    <d v="2024-09-09T00:00:00"/>
    <s v="CUST002"/>
    <x v="25"/>
    <s v="P005"/>
    <s v="Blender"/>
    <s v="Appliances"/>
    <n v="3"/>
    <n v="59.99"/>
    <s v="PayPal"/>
    <s v="East"/>
    <s v="Standard"/>
    <d v="2022-07-06T00:00:00"/>
    <n v="179.97"/>
    <s v="Sep"/>
    <n v="2024"/>
    <n v="1532"/>
    <n v="45565"/>
    <d v="2026-09-15T23:04:17"/>
  </r>
  <r>
    <s v="TRX0112"/>
    <d v="2024-09-09T00:00:00"/>
    <s v="CUST008"/>
    <x v="27"/>
    <s v="P004"/>
    <s v="Coffee Maker"/>
    <s v="Appliances"/>
    <n v="4"/>
    <n v="79.989999999999995"/>
    <s v="Cash"/>
    <s v="North"/>
    <s v="Basic"/>
    <d v="2021-11-30T00:00:00"/>
    <n v="319.95999999999998"/>
    <s v="Sep"/>
    <n v="2024"/>
    <n v="1750"/>
    <n v="45565"/>
    <d v="2026-09-15T23:04:17"/>
  </r>
  <r>
    <s v="TRX0161"/>
    <d v="2024-09-10T00:00:00"/>
    <s v="CUST017"/>
    <x v="6"/>
    <s v="P004"/>
    <s v="Coffee Maker"/>
    <s v="Appliances"/>
    <n v="1"/>
    <n v="79.989999999999995"/>
    <s v="Cash"/>
    <s v="West"/>
    <s v="Basic"/>
    <d v="2022-05-12T00:00:00"/>
    <n v="79.989999999999995"/>
    <s v="Sep"/>
    <n v="2024"/>
    <n v="1587"/>
    <n v="45565"/>
    <d v="2026-09-15T23:04:17"/>
  </r>
  <r>
    <s v="TRX0108"/>
    <d v="2024-09-12T00:00:00"/>
    <s v="CUST024"/>
    <x v="5"/>
    <s v="P007"/>
    <s v="Desk"/>
    <s v="Furniture"/>
    <n v="3"/>
    <n v="299.99"/>
    <s v="Credit Card"/>
    <s v="Central"/>
    <s v="Premium"/>
    <d v="2021-10-25T00:00:00"/>
    <n v="899.97"/>
    <s v="Sep"/>
    <n v="2024"/>
    <n v="1786"/>
    <n v="45565"/>
    <d v="2026-09-15T23:04:17"/>
  </r>
  <r>
    <s v="TRX0211"/>
    <d v="2024-09-13T00:00:00"/>
    <s v="CUST046"/>
    <x v="3"/>
    <s v="P010"/>
    <s v="Keyboard"/>
    <s v="Electronics"/>
    <n v="2"/>
    <n v="89.99"/>
    <s v="Credit Card"/>
    <s v="South"/>
    <s v="Premium"/>
    <d v="2022-03-21T00:00:00"/>
    <n v="179.98"/>
    <s v="Sep"/>
    <n v="2024"/>
    <n v="1639"/>
    <n v="45565"/>
    <d v="2026-09-15T23:04:17"/>
  </r>
  <r>
    <s v="TRX0005"/>
    <d v="2024-09-15T00:00:00"/>
    <s v="CUST042"/>
    <x v="43"/>
    <s v="P003"/>
    <s v="Headphones"/>
    <s v="Electronics"/>
    <n v="4"/>
    <n v="149.99"/>
    <s v="Cash"/>
    <s v="North"/>
    <s v="Basic"/>
    <d v="2022-12-14T00:00:00"/>
    <n v="599.96"/>
    <s v="Sep"/>
    <n v="2024"/>
    <n v="1371"/>
    <n v="45565"/>
    <d v="2026-09-15T23:04:17"/>
  </r>
  <r>
    <s v="TRX0195"/>
    <d v="2024-09-16T00:00:00"/>
    <s v="CUST026"/>
    <x v="8"/>
    <s v="P009"/>
    <s v="Monitor"/>
    <s v="Electronics"/>
    <n v="2"/>
    <n v="249.99"/>
    <s v="PayPal"/>
    <s v="South"/>
    <s v="Basic"/>
    <d v="2023-03-08T00:00:00"/>
    <n v="499.98"/>
    <s v="Sep"/>
    <n v="2024"/>
    <n v="1287"/>
    <n v="45565"/>
    <d v="2026-09-15T23:04:17"/>
  </r>
  <r>
    <s v="TRX0054"/>
    <d v="2024-09-16T00:00:00"/>
    <s v="CUST004"/>
    <x v="31"/>
    <s v="P006"/>
    <s v="Office Chair"/>
    <s v="Furniture"/>
    <n v="4"/>
    <n v="199.99"/>
    <s v="Debit Card"/>
    <s v="East"/>
    <s v="Basic"/>
    <d v="2021-09-19T00:00:00"/>
    <n v="799.96"/>
    <s v="Sep"/>
    <n v="2024"/>
    <n v="1822"/>
    <n v="45565"/>
    <d v="2026-09-15T23:04:17"/>
  </r>
  <r>
    <s v="TRX0077"/>
    <d v="2024-09-19T00:00:00"/>
    <s v="CUST019"/>
    <x v="29"/>
    <s v="P010"/>
    <s v="Keyboard"/>
    <s v="Electronics"/>
    <n v="5"/>
    <n v="89.99"/>
    <s v="Credit Card"/>
    <s v="East"/>
    <s v="Premium"/>
    <d v="2021-09-07T00:00:00"/>
    <n v="449.95"/>
    <s v="Sep"/>
    <n v="2024"/>
    <n v="1834"/>
    <n v="45565"/>
    <d v="2026-09-15T23:04:17"/>
  </r>
  <r>
    <s v="TRX0111"/>
    <d v="2024-09-19T00:00:00"/>
    <s v="CUST011"/>
    <x v="44"/>
    <s v="P003"/>
    <s v="Headphones"/>
    <s v="Electronics"/>
    <n v="1"/>
    <n v="149.99"/>
    <s v="PayPal"/>
    <s v="East"/>
    <s v="Standard"/>
    <d v="2021-10-13T00:00:00"/>
    <n v="149.99"/>
    <s v="Sep"/>
    <n v="2024"/>
    <n v="1798"/>
    <n v="45565"/>
    <d v="2026-09-15T23:04:17"/>
  </r>
  <r>
    <s v="TRX0123"/>
    <d v="2024-09-19T00:00:00"/>
    <s v="CUST041"/>
    <x v="10"/>
    <s v="P002"/>
    <s v="Smartphone"/>
    <s v="Electronics"/>
    <n v="4"/>
    <n v="699.99"/>
    <s v="PayPal"/>
    <s v="South"/>
    <s v="Basic"/>
    <d v="2022-02-26T00:00:00"/>
    <n v="2799.96"/>
    <s v="Sep"/>
    <n v="2024"/>
    <n v="1662"/>
    <n v="45565"/>
    <d v="2026-09-15T23:04:17"/>
  </r>
  <r>
    <s v="TRX0177"/>
    <d v="2024-09-24T00:00:00"/>
    <s v="CUST032"/>
    <x v="42"/>
    <s v="P001"/>
    <s v="Laptop"/>
    <s v="Electronics"/>
    <n v="3"/>
    <n v="899.99"/>
    <s v="Credit Card"/>
    <s v="North"/>
    <s v="Standard"/>
    <d v="2023-08-19T00:00:00"/>
    <n v="2699.97"/>
    <s v="Sep"/>
    <n v="2024"/>
    <n v="1123"/>
    <n v="45565"/>
    <d v="2026-09-15T23:04:17"/>
  </r>
  <r>
    <s v="TRX0119"/>
    <d v="2024-09-25T00:00:00"/>
    <s v="CUST014"/>
    <x v="21"/>
    <s v="P008"/>
    <s v="Bookshelf"/>
    <s v="Furniture"/>
    <n v="3"/>
    <n v="149.99"/>
    <s v="PayPal"/>
    <s v="East"/>
    <s v="Basic"/>
    <d v="2022-11-21T00:00:00"/>
    <n v="449.97"/>
    <s v="Sep"/>
    <n v="2024"/>
    <n v="1394"/>
    <n v="45565"/>
    <d v="2026-09-15T23:04:17"/>
  </r>
  <r>
    <s v="TRX0181"/>
    <d v="2024-09-28T00:00:00"/>
    <s v="CUST012"/>
    <x v="18"/>
    <s v="P007"/>
    <s v="Desk"/>
    <s v="Furniture"/>
    <n v="2"/>
    <n v="299.99"/>
    <s v="Debit Card"/>
    <s v="Central"/>
    <s v="Basic"/>
    <d v="2022-01-08T00:00:00"/>
    <n v="599.98"/>
    <s v="Sep"/>
    <n v="2024"/>
    <n v="1711"/>
    <n v="45565"/>
    <d v="2026-09-15T23:04:17"/>
  </r>
  <r>
    <s v="TRX0129"/>
    <d v="2024-09-29T00:00:00"/>
    <s v="CUST015"/>
    <x v="45"/>
    <s v="P006"/>
    <s v="Office Chair"/>
    <s v="Furniture"/>
    <n v="1"/>
    <n v="199.99"/>
    <s v="Debit Card"/>
    <s v="East"/>
    <s v="Standard"/>
    <d v="2023-01-27T00:00:00"/>
    <n v="199.99"/>
    <s v="Sep"/>
    <n v="2024"/>
    <n v="1327"/>
    <n v="45565"/>
    <d v="2026-09-15T23:04:17"/>
  </r>
  <r>
    <s v="TRX0174"/>
    <d v="2024-10-01T00:00:00"/>
    <s v="CUST003"/>
    <x v="4"/>
    <s v="P007"/>
    <s v="Desk"/>
    <s v="Furniture"/>
    <n v="4"/>
    <n v="299.99"/>
    <s v="Cash"/>
    <s v="Central"/>
    <s v="Premium"/>
    <d v="2021-09-21T00:00:00"/>
    <n v="1199.96"/>
    <s v="Oct"/>
    <n v="2024"/>
    <n v="1820"/>
    <n v="45596"/>
    <d v="2026-09-15T23:04:17"/>
  </r>
  <r>
    <s v="TRX0146"/>
    <d v="2024-10-07T00:00:00"/>
    <s v="CUST010"/>
    <x v="15"/>
    <s v="P005"/>
    <s v="Blender"/>
    <s v="Appliances"/>
    <n v="2"/>
    <n v="59.99"/>
    <s v="Credit Card"/>
    <s v="Central"/>
    <s v="Basic"/>
    <d v="2022-01-18T00:00:00"/>
    <n v="119.98"/>
    <s v="Oct"/>
    <n v="2024"/>
    <n v="1701"/>
    <n v="45596"/>
    <d v="2026-09-15T23:04:17"/>
  </r>
  <r>
    <s v="TRX0203"/>
    <d v="2024-10-07T00:00:00"/>
    <s v="CUST032"/>
    <x v="42"/>
    <s v="P003"/>
    <s v="Headphones"/>
    <s v="Electronics"/>
    <n v="4"/>
    <n v="149.99"/>
    <s v="Credit Card"/>
    <s v="North"/>
    <s v="Premium"/>
    <d v="2023-05-30T00:00:00"/>
    <n v="599.96"/>
    <s v="Oct"/>
    <n v="2024"/>
    <n v="1204"/>
    <n v="45596"/>
    <d v="2026-09-15T23:04:17"/>
  </r>
  <r>
    <s v="TRX0055"/>
    <d v="2024-10-08T00:00:00"/>
    <s v="CUST016"/>
    <x v="39"/>
    <s v="P002"/>
    <s v="Smartphone"/>
    <s v="Electronics"/>
    <n v="2"/>
    <n v="699.99"/>
    <s v="Debit Card"/>
    <s v="East"/>
    <s v="Premium"/>
    <d v="2023-12-14T00:00:00"/>
    <n v="1399.98"/>
    <s v="Oct"/>
    <n v="2024"/>
    <n v="1006"/>
    <n v="45596"/>
    <d v="2026-09-15T23:04:17"/>
  </r>
  <r>
    <s v="TRX0218"/>
    <d v="2024-10-08T00:00:00"/>
    <s v="CUST034"/>
    <x v="41"/>
    <s v="P008"/>
    <s v="Bookshelf"/>
    <s v="Furniture"/>
    <n v="3"/>
    <n v="149.99"/>
    <s v="Credit Card"/>
    <s v="South"/>
    <s v="Standard"/>
    <d v="2023-01-14T00:00:00"/>
    <n v="449.97"/>
    <s v="Oct"/>
    <n v="2024"/>
    <n v="1340"/>
    <n v="45596"/>
    <d v="2026-09-15T23:04:17"/>
  </r>
  <r>
    <s v="TRX0085"/>
    <d v="2024-10-11T00:00:00"/>
    <s v="CUST019"/>
    <x v="29"/>
    <s v="P007"/>
    <s v="Desk"/>
    <s v="Furniture"/>
    <n v="3"/>
    <n v="299.99"/>
    <s v="Credit Card"/>
    <s v="Central"/>
    <s v="Standard"/>
    <d v="2023-09-05T00:00:00"/>
    <n v="899.97"/>
    <s v="Oct"/>
    <n v="2024"/>
    <n v="1106"/>
    <n v="45596"/>
    <d v="2026-09-15T23:04:17"/>
  </r>
  <r>
    <s v="TRX0158"/>
    <d v="2024-10-14T00:00:00"/>
    <s v="CUST027"/>
    <x v="13"/>
    <s v="P001"/>
    <s v="Laptop"/>
    <s v="Electronics"/>
    <n v="3"/>
    <n v="899.99"/>
    <s v="PayPal"/>
    <s v="West"/>
    <s v="Basic"/>
    <d v="2023-10-16T00:00:00"/>
    <n v="2699.97"/>
    <s v="Oct"/>
    <n v="2024"/>
    <n v="1065"/>
    <n v="45596"/>
    <d v="2026-09-15T23:04:17"/>
  </r>
  <r>
    <s v="TRX0173"/>
    <d v="2024-10-16T00:00:00"/>
    <s v="CUST018"/>
    <x v="17"/>
    <s v="P002"/>
    <s v="Smartphone"/>
    <s v="Electronics"/>
    <n v="5"/>
    <n v="699.99"/>
    <s v="Cash"/>
    <s v="East"/>
    <s v="Standard"/>
    <d v="2023-03-23T00:00:00"/>
    <n v="3499.95"/>
    <s v="Oct"/>
    <n v="2024"/>
    <n v="1272"/>
    <n v="45596"/>
    <d v="2026-09-15T23:04:17"/>
  </r>
  <r>
    <s v="TRX0034"/>
    <d v="2024-10-16T00:00:00"/>
    <s v="CUST049"/>
    <x v="34"/>
    <s v="P002"/>
    <s v="Smartphone"/>
    <s v="Electronics"/>
    <n v="4"/>
    <n v="699.99"/>
    <s v="Credit Card"/>
    <s v="Central"/>
    <s v="Basic"/>
    <d v="2024-04-03T00:00:00"/>
    <n v="2799.96"/>
    <s v="Oct"/>
    <n v="2024"/>
    <n v="895"/>
    <n v="45596"/>
    <d v="2026-09-15T23:04:17"/>
  </r>
  <r>
    <s v="TRX0189"/>
    <d v="2024-10-16T00:00:00"/>
    <s v="CUST040"/>
    <x v="30"/>
    <s v="P001"/>
    <s v="Laptop"/>
    <s v="Electronics"/>
    <n v="1"/>
    <n v="899.99"/>
    <s v="Credit Card"/>
    <s v="East"/>
    <s v="Standard"/>
    <d v="2024-03-18T00:00:00"/>
    <n v="899.99"/>
    <s v="Oct"/>
    <n v="2024"/>
    <n v="911"/>
    <n v="45596"/>
    <d v="2026-09-15T23:04:17"/>
  </r>
  <r>
    <s v="TRX0190"/>
    <d v="2024-10-18T00:00:00"/>
    <s v="CUST039"/>
    <x v="40"/>
    <s v="P003"/>
    <s v="Headphones"/>
    <s v="Electronics"/>
    <n v="2"/>
    <n v="149.99"/>
    <s v="Credit Card"/>
    <s v="West"/>
    <s v="Basic"/>
    <d v="2022-12-21T00:00:00"/>
    <n v="299.98"/>
    <s v="Oct"/>
    <n v="2024"/>
    <n v="1364"/>
    <n v="45596"/>
    <d v="2026-09-15T23:04:17"/>
  </r>
  <r>
    <s v="TRX0079"/>
    <d v="2024-10-21T00:00:00"/>
    <s v="CUST039"/>
    <x v="40"/>
    <s v="P010"/>
    <s v="Keyboard"/>
    <s v="Electronics"/>
    <n v="3"/>
    <n v="89.99"/>
    <s v="PayPal"/>
    <s v="Central"/>
    <s v="Basic"/>
    <d v="2021-12-21T00:00:00"/>
    <n v="269.97000000000003"/>
    <s v="Oct"/>
    <n v="2024"/>
    <n v="1729"/>
    <n v="45596"/>
    <d v="2026-09-15T23:04:17"/>
  </r>
  <r>
    <s v="TRX0095"/>
    <d v="2024-10-23T00:00:00"/>
    <s v="CUST046"/>
    <x v="3"/>
    <s v="P003"/>
    <s v="Headphones"/>
    <s v="Electronics"/>
    <n v="2"/>
    <n v="149.99"/>
    <s v="PayPal"/>
    <s v="Central"/>
    <s v="Basic"/>
    <d v="2021-10-04T00:00:00"/>
    <n v="299.98"/>
    <s v="Oct"/>
    <n v="2024"/>
    <n v="1807"/>
    <n v="45596"/>
    <d v="2026-09-15T23:04:17"/>
  </r>
  <r>
    <s v="TRX0009"/>
    <d v="2024-10-23T00:00:00"/>
    <s v="CUST004"/>
    <x v="31"/>
    <s v="P002"/>
    <s v="Smartphone"/>
    <s v="Electronics"/>
    <n v="2"/>
    <n v="699.99"/>
    <s v="Cash"/>
    <s v="Central"/>
    <s v="Basic"/>
    <d v="2023-03-07T00:00:00"/>
    <n v="1399.98"/>
    <s v="Oct"/>
    <n v="2024"/>
    <n v="1288"/>
    <n v="45596"/>
    <d v="2026-09-15T23:04:17"/>
  </r>
  <r>
    <s v="TRX0167"/>
    <d v="2024-10-24T00:00:00"/>
    <s v="CUST028"/>
    <x v="32"/>
    <s v="P002"/>
    <s v="Smartphone"/>
    <s v="Electronics"/>
    <n v="5"/>
    <n v="699.99"/>
    <s v="Cash"/>
    <s v="North"/>
    <s v="Premium"/>
    <d v="2022-03-15T00:00:00"/>
    <n v="3499.95"/>
    <s v="Oct"/>
    <n v="2024"/>
    <n v="1645"/>
    <n v="45596"/>
    <d v="2026-09-15T23:04:17"/>
  </r>
  <r>
    <s v="TRX0153"/>
    <d v="2024-10-27T00:00:00"/>
    <s v="CUST049"/>
    <x v="34"/>
    <s v="P010"/>
    <s v="Keyboard"/>
    <s v="Electronics"/>
    <n v="3"/>
    <n v="89.99"/>
    <s v="Credit Card"/>
    <s v="North"/>
    <s v="Standard"/>
    <d v="2022-02-23T00:00:00"/>
    <n v="269.97000000000003"/>
    <s v="Oct"/>
    <n v="2024"/>
    <n v="1665"/>
    <n v="45596"/>
    <d v="2026-09-15T23:04:17"/>
  </r>
  <r>
    <s v="TRX0057"/>
    <d v="2024-11-01T00:00:00"/>
    <s v="CUST023"/>
    <x v="0"/>
    <s v="P009"/>
    <s v="Monitor"/>
    <s v="Electronics"/>
    <n v="5"/>
    <n v="249.99"/>
    <s v="Credit Card"/>
    <s v="South"/>
    <s v="Standard"/>
    <d v="2022-11-16T00:00:00"/>
    <n v="1249.95"/>
    <s v="Nov"/>
    <n v="2024"/>
    <n v="1399"/>
    <n v="45626"/>
    <d v="2026-09-15T23:04:17"/>
  </r>
  <r>
    <s v="TRX0017"/>
    <d v="2024-11-04T00:00:00"/>
    <s v="CUST026"/>
    <x v="8"/>
    <s v="P007"/>
    <s v="Desk"/>
    <s v="Furniture"/>
    <n v="3"/>
    <n v="299.99"/>
    <s v="Credit Card"/>
    <s v="South"/>
    <s v="Standard"/>
    <d v="2021-11-02T00:00:00"/>
    <n v="899.97"/>
    <s v="Nov"/>
    <n v="2024"/>
    <n v="1778"/>
    <n v="45626"/>
    <d v="2026-09-15T23:04:17"/>
  </r>
  <r>
    <s v="TRX0060"/>
    <d v="2024-11-07T00:00:00"/>
    <s v="CUST012"/>
    <x v="18"/>
    <s v="P010"/>
    <s v="Keyboard"/>
    <s v="Electronics"/>
    <n v="3"/>
    <n v="89.99"/>
    <s v="Credit Card"/>
    <s v="North"/>
    <s v="Premium"/>
    <d v="2021-08-12T00:00:00"/>
    <n v="269.97000000000003"/>
    <s v="Nov"/>
    <n v="2024"/>
    <n v="1860"/>
    <n v="45626"/>
    <d v="2026-09-15T23:04:17"/>
  </r>
  <r>
    <s v="TRX0109"/>
    <d v="2024-11-08T00:00:00"/>
    <s v="CUST010"/>
    <x v="15"/>
    <s v="P008"/>
    <s v="Bookshelf"/>
    <s v="Furniture"/>
    <n v="2"/>
    <n v="149.99"/>
    <s v="Credit Card"/>
    <s v="West"/>
    <s v="Premium"/>
    <d v="2022-10-14T00:00:00"/>
    <n v="299.98"/>
    <s v="Nov"/>
    <n v="2024"/>
    <n v="1432"/>
    <n v="45626"/>
    <d v="2026-09-15T23:04:17"/>
  </r>
  <r>
    <s v="TRX0090"/>
    <d v="2024-11-09T00:00:00"/>
    <s v="CUST020"/>
    <x v="36"/>
    <s v="P009"/>
    <s v="Monitor"/>
    <s v="Electronics"/>
    <n v="1"/>
    <n v="249.99"/>
    <s v="Credit Card"/>
    <s v="North"/>
    <s v="Premium"/>
    <d v="2022-09-24T00:00:00"/>
    <n v="249.99"/>
    <s v="Nov"/>
    <n v="2024"/>
    <n v="1452"/>
    <n v="45626"/>
    <d v="2026-09-15T23:04:17"/>
  </r>
  <r>
    <s v="TRX0035"/>
    <d v="2024-11-11T00:00:00"/>
    <s v="CUST041"/>
    <x v="10"/>
    <s v="P003"/>
    <s v="Headphones"/>
    <s v="Electronics"/>
    <n v="3"/>
    <n v="149.99"/>
    <s v="Cash"/>
    <s v="North"/>
    <s v="Basic"/>
    <d v="2022-07-27T00:00:00"/>
    <n v="449.97"/>
    <s v="Nov"/>
    <n v="2024"/>
    <n v="1511"/>
    <n v="45626"/>
    <d v="2026-09-15T23:04:17"/>
  </r>
  <r>
    <s v="TRX0172"/>
    <d v="2024-11-11T00:00:00"/>
    <s v="CUST023"/>
    <x v="0"/>
    <s v="P005"/>
    <s v="Blender"/>
    <s v="Appliances"/>
    <n v="5"/>
    <n v="59.99"/>
    <s v="PayPal"/>
    <s v="West"/>
    <s v="Premium"/>
    <d v="2022-05-13T00:00:00"/>
    <n v="299.95"/>
    <s v="Nov"/>
    <n v="2024"/>
    <n v="1586"/>
    <n v="45626"/>
    <d v="2026-09-15T23:04:17"/>
  </r>
  <r>
    <s v="TRX0076"/>
    <d v="2024-11-11T00:00:00"/>
    <s v="CUST012"/>
    <x v="18"/>
    <s v="P009"/>
    <s v="Monitor"/>
    <s v="Electronics"/>
    <n v="4"/>
    <n v="249.99"/>
    <s v="Credit Card"/>
    <s v="West"/>
    <s v="Standard"/>
    <d v="2022-04-08T00:00:00"/>
    <n v="999.96"/>
    <s v="Nov"/>
    <n v="2024"/>
    <n v="1621"/>
    <n v="45626"/>
    <d v="2026-09-15T23:04:17"/>
  </r>
  <r>
    <s v="TRX0210"/>
    <d v="2024-11-12T00:00:00"/>
    <s v="CUST004"/>
    <x v="31"/>
    <s v="P008"/>
    <s v="Bookshelf"/>
    <s v="Furniture"/>
    <n v="5"/>
    <n v="149.99"/>
    <s v="PayPal"/>
    <s v="Central"/>
    <s v="Basic"/>
    <d v="2022-12-06T00:00:00"/>
    <n v="749.95"/>
    <s v="Nov"/>
    <n v="2024"/>
    <n v="1379"/>
    <n v="45626"/>
    <d v="2026-09-15T23:04:17"/>
  </r>
  <r>
    <s v="TRX0149"/>
    <d v="2024-11-12T00:00:00"/>
    <s v="CUST027"/>
    <x v="13"/>
    <s v="P005"/>
    <s v="Blender"/>
    <s v="Appliances"/>
    <n v="3"/>
    <n v="59.99"/>
    <s v="Debit Card"/>
    <s v="South"/>
    <s v="Standard"/>
    <d v="2023-11-30T00:00:00"/>
    <n v="179.97"/>
    <s v="Nov"/>
    <n v="2024"/>
    <n v="1020"/>
    <n v="45626"/>
    <d v="2026-09-15T23:04:17"/>
  </r>
  <r>
    <s v="TRX0073"/>
    <d v="2024-11-17T00:00:00"/>
    <s v="CUST032"/>
    <x v="42"/>
    <s v="P008"/>
    <s v="Bookshelf"/>
    <s v="Furniture"/>
    <n v="5"/>
    <n v="149.99"/>
    <s v="Cash"/>
    <s v="North"/>
    <s v="Basic"/>
    <d v="2022-11-04T00:00:00"/>
    <n v="749.95"/>
    <s v="Nov"/>
    <n v="2024"/>
    <n v="1411"/>
    <n v="45626"/>
    <d v="2026-09-15T23:04:17"/>
  </r>
  <r>
    <s v="TRX0033"/>
    <d v="2024-11-17T00:00:00"/>
    <s v="CUST025"/>
    <x v="14"/>
    <s v="P002"/>
    <s v="Smartphone"/>
    <s v="Electronics"/>
    <n v="2"/>
    <n v="699.99"/>
    <s v="PayPal"/>
    <s v="West"/>
    <s v="Standard"/>
    <d v="2022-07-28T00:00:00"/>
    <n v="1399.98"/>
    <s v="Nov"/>
    <n v="2024"/>
    <n v="1510"/>
    <n v="45626"/>
    <d v="2026-09-15T23:04:17"/>
  </r>
  <r>
    <s v="TRX0160"/>
    <d v="2024-11-21T00:00:00"/>
    <s v="CUST029"/>
    <x v="23"/>
    <s v="P006"/>
    <s v="Office Chair"/>
    <s v="Furniture"/>
    <n v="4"/>
    <n v="199.99"/>
    <s v="Debit Card"/>
    <s v="Central"/>
    <s v="Premium"/>
    <d v="2021-08-19T00:00:00"/>
    <n v="799.96"/>
    <s v="Nov"/>
    <n v="2024"/>
    <n v="1853"/>
    <n v="45626"/>
    <d v="2026-09-15T23:04:17"/>
  </r>
  <r>
    <s v="TRX0145"/>
    <d v="2024-11-23T00:00:00"/>
    <s v="CUST033"/>
    <x v="37"/>
    <s v="P005"/>
    <s v="Blender"/>
    <s v="Appliances"/>
    <n v="1"/>
    <n v="59.99"/>
    <s v="Debit Card"/>
    <s v="West"/>
    <s v="Standard"/>
    <d v="2021-12-30T00:00:00"/>
    <n v="59.99"/>
    <s v="Nov"/>
    <n v="2024"/>
    <n v="1720"/>
    <n v="45626"/>
    <d v="2026-09-15T23:04:17"/>
  </r>
  <r>
    <s v="TRX0148"/>
    <d v="2024-11-23T00:00:00"/>
    <s v="CUST004"/>
    <x v="31"/>
    <s v="P002"/>
    <s v="Smartphone"/>
    <s v="Electronics"/>
    <n v="3"/>
    <n v="699.99"/>
    <s v="PayPal"/>
    <s v="West"/>
    <s v="Standard"/>
    <d v="2022-01-22T00:00:00"/>
    <n v="2099.9699999999998"/>
    <s v="Nov"/>
    <n v="2024"/>
    <n v="1697"/>
    <n v="45626"/>
    <d v="2026-09-15T23:04:17"/>
  </r>
  <r>
    <s v="TRX0012"/>
    <d v="2024-11-26T00:00:00"/>
    <s v="CUST045"/>
    <x v="46"/>
    <s v="P009"/>
    <s v="Monitor"/>
    <s v="Electronics"/>
    <n v="5"/>
    <n v="249.99"/>
    <s v="Credit Card"/>
    <s v="North"/>
    <s v="Basic"/>
    <d v="2022-11-08T00:00:00"/>
    <n v="1249.95"/>
    <s v="Nov"/>
    <n v="2024"/>
    <n v="1407"/>
    <n v="45626"/>
    <d v="2026-09-15T23:04:17"/>
  </r>
  <r>
    <s v="TRX0206"/>
    <d v="2024-11-27T00:00:00"/>
    <s v="CUST014"/>
    <x v="21"/>
    <s v="P008"/>
    <s v="Bookshelf"/>
    <s v="Furniture"/>
    <n v="2"/>
    <n v="149.99"/>
    <s v="Cash"/>
    <s v="South"/>
    <s v="Standard"/>
    <d v="2023-06-24T00:00:00"/>
    <n v="299.98"/>
    <s v="Nov"/>
    <n v="2024"/>
    <n v="1179"/>
    <n v="45626"/>
    <d v="2026-09-15T23:04:17"/>
  </r>
  <r>
    <s v="TRX0045"/>
    <d v="2024-12-01T00:00:00"/>
    <s v="CUST021"/>
    <x v="2"/>
    <s v="P007"/>
    <s v="Desk"/>
    <s v="Furniture"/>
    <n v="3"/>
    <n v="299.99"/>
    <s v="Cash"/>
    <s v="South"/>
    <s v="Premium"/>
    <d v="2022-04-08T00:00:00"/>
    <n v="899.97"/>
    <s v="Dec"/>
    <n v="2024"/>
    <n v="1621"/>
    <n v="45657"/>
    <d v="2026-09-15T23:04:17"/>
  </r>
  <r>
    <s v="TRX0094"/>
    <d v="2024-12-01T00:00:00"/>
    <s v="CUST017"/>
    <x v="6"/>
    <s v="P009"/>
    <s v="Monitor"/>
    <s v="Electronics"/>
    <n v="5"/>
    <n v="249.99"/>
    <s v="Cash"/>
    <s v="Central"/>
    <s v="Premium"/>
    <d v="2021-10-16T00:00:00"/>
    <n v="1249.95"/>
    <s v="Dec"/>
    <n v="2024"/>
    <n v="1795"/>
    <n v="45657"/>
    <d v="2026-09-15T23:04:17"/>
  </r>
  <r>
    <s v="TRX0133"/>
    <d v="2024-12-01T00:00:00"/>
    <s v="CUST013"/>
    <x v="1"/>
    <s v="P003"/>
    <s v="Headphones"/>
    <s v="Electronics"/>
    <n v="2"/>
    <n v="149.99"/>
    <s v="Cash"/>
    <s v="South"/>
    <s v="Premium"/>
    <d v="2021-10-06T00:00:00"/>
    <n v="299.98"/>
    <s v="Dec"/>
    <n v="2024"/>
    <n v="1805"/>
    <n v="45657"/>
    <d v="2026-09-15T23:04:17"/>
  </r>
  <r>
    <s v="TRX0201"/>
    <d v="2024-12-01T00:00:00"/>
    <s v="CUST025"/>
    <x v="14"/>
    <s v="P002"/>
    <s v="Smartphone"/>
    <s v="Electronics"/>
    <n v="5"/>
    <n v="699.99"/>
    <s v="Debit Card"/>
    <s v="West"/>
    <s v="Standard"/>
    <d v="2023-01-18T00:00:00"/>
    <n v="3499.95"/>
    <s v="Dec"/>
    <n v="2024"/>
    <n v="1336"/>
    <n v="45657"/>
    <d v="2026-09-15T23:04:17"/>
  </r>
  <r>
    <s v="TRX0137"/>
    <d v="2024-12-03T00:00:00"/>
    <s v="CUST011"/>
    <x v="44"/>
    <s v="P009"/>
    <s v="Monitor"/>
    <s v="Electronics"/>
    <n v="4"/>
    <n v="249.99"/>
    <s v="PayPal"/>
    <s v="East"/>
    <s v="Premium"/>
    <d v="2023-06-21T00:00:00"/>
    <n v="999.96"/>
    <s v="Dec"/>
    <n v="2024"/>
    <n v="1182"/>
    <n v="45657"/>
    <d v="2026-09-15T23:04:17"/>
  </r>
  <r>
    <s v="TRX0066"/>
    <d v="2024-12-04T00:00:00"/>
    <s v="CUST024"/>
    <x v="5"/>
    <s v="P002"/>
    <s v="Smartphone"/>
    <s v="Electronics"/>
    <n v="4"/>
    <n v="699.99"/>
    <s v="Credit Card"/>
    <s v="North"/>
    <s v="Premium"/>
    <d v="2022-05-22T00:00:00"/>
    <n v="2799.96"/>
    <s v="Dec"/>
    <n v="2024"/>
    <n v="1577"/>
    <n v="45657"/>
    <d v="2026-09-15T23:04:17"/>
  </r>
  <r>
    <s v="TRX0180"/>
    <d v="2024-12-09T00:00:00"/>
    <s v="CUST036"/>
    <x v="20"/>
    <s v="P009"/>
    <s v="Monitor"/>
    <s v="Electronics"/>
    <n v="2"/>
    <n v="249.99"/>
    <s v="Credit Card"/>
    <s v="Central"/>
    <s v="Premium"/>
    <d v="2021-07-19T00:00:00"/>
    <n v="499.98"/>
    <s v="Dec"/>
    <n v="2024"/>
    <n v="1884"/>
    <n v="45657"/>
    <d v="2026-09-15T23:04:17"/>
  </r>
  <r>
    <s v="TRX0082"/>
    <d v="2024-12-09T00:00:00"/>
    <s v="CUST005"/>
    <x v="47"/>
    <s v="P005"/>
    <s v="Blender"/>
    <s v="Appliances"/>
    <n v="3"/>
    <n v="59.99"/>
    <s v="Cash"/>
    <s v="Central"/>
    <s v="Premium"/>
    <d v="2023-05-06T00:00:00"/>
    <n v="179.97"/>
    <s v="Dec"/>
    <n v="2024"/>
    <n v="1228"/>
    <n v="45657"/>
    <d v="2026-09-15T23:04:17"/>
  </r>
  <r>
    <s v="TRX0036"/>
    <d v="2024-12-09T00:00:00"/>
    <s v="CUST008"/>
    <x v="27"/>
    <s v="P004"/>
    <s v="Coffee Maker"/>
    <s v="Appliances"/>
    <n v="4"/>
    <n v="79.989999999999995"/>
    <s v="Debit Card"/>
    <s v="East"/>
    <s v="Standard"/>
    <d v="2022-12-26T00:00:00"/>
    <n v="319.95999999999998"/>
    <s v="Dec"/>
    <n v="2024"/>
    <n v="1359"/>
    <n v="45657"/>
    <d v="2026-09-15T23:04:17"/>
  </r>
  <r>
    <s v="TRX0198"/>
    <d v="2024-12-10T00:00:00"/>
    <s v="CUST030"/>
    <x v="22"/>
    <s v="P004"/>
    <s v="Coffee Maker"/>
    <s v="Appliances"/>
    <n v="3"/>
    <n v="79.989999999999995"/>
    <s v="Debit Card"/>
    <s v="East"/>
    <s v="Standard"/>
    <d v="2022-08-06T00:00:00"/>
    <n v="239.97"/>
    <s v="Dec"/>
    <n v="2024"/>
    <n v="1501"/>
    <n v="45657"/>
    <d v="2026-09-15T23:04:17"/>
  </r>
  <r>
    <s v="TRX0032"/>
    <d v="2024-12-12T00:00:00"/>
    <s v="CUST041"/>
    <x v="10"/>
    <s v="P001"/>
    <s v="Laptop"/>
    <s v="Electronics"/>
    <n v="2"/>
    <n v="899.99"/>
    <s v="Cash"/>
    <s v="North"/>
    <s v="Basic"/>
    <d v="2021-07-29T00:00:00"/>
    <n v="1799.98"/>
    <s v="Dec"/>
    <n v="2024"/>
    <n v="1874"/>
    <n v="45657"/>
    <d v="2026-09-15T23:04:17"/>
  </r>
  <r>
    <s v="TRX0081"/>
    <d v="2024-12-15T00:00:00"/>
    <s v="CUST007"/>
    <x v="35"/>
    <s v="P008"/>
    <s v="Bookshelf"/>
    <s v="Furniture"/>
    <n v="1"/>
    <n v="149.99"/>
    <s v="Debit Card"/>
    <s v="East"/>
    <s v="Standard"/>
    <d v="2023-10-01T00:00:00"/>
    <n v="149.99"/>
    <s v="Dec"/>
    <n v="2024"/>
    <n v="1080"/>
    <n v="45657"/>
    <d v="2026-09-15T23:04:17"/>
  </r>
  <r>
    <s v="TRX0224"/>
    <d v="2024-12-15T00:00:00"/>
    <s v="CUST031"/>
    <x v="26"/>
    <s v="P007"/>
    <s v="Desk"/>
    <s v="Furniture"/>
    <n v="2"/>
    <n v="299.99"/>
    <s v="Cash"/>
    <s v="East"/>
    <s v="Premium"/>
    <d v="2022-06-12T00:00:00"/>
    <n v="599.98"/>
    <s v="Dec"/>
    <n v="2024"/>
    <n v="1556"/>
    <n v="45657"/>
    <d v="2026-09-15T23:04:17"/>
  </r>
  <r>
    <s v="TRX0028"/>
    <d v="2024-12-18T00:00:00"/>
    <s v="CUST002"/>
    <x v="25"/>
    <s v="P005"/>
    <s v="Blender"/>
    <s v="Appliances"/>
    <n v="2"/>
    <n v="59.99"/>
    <s v="Cash"/>
    <s v="West"/>
    <s v="Basic"/>
    <d v="2023-09-22T00:00:00"/>
    <n v="119.98"/>
    <s v="Dec"/>
    <n v="2024"/>
    <n v="1089"/>
    <n v="45657"/>
    <d v="2026-09-15T23:04:17"/>
  </r>
  <r>
    <s v="TRX0183"/>
    <d v="2024-12-19T00:00:00"/>
    <s v="CUST007"/>
    <x v="35"/>
    <s v="P010"/>
    <s v="Keyboard"/>
    <s v="Electronics"/>
    <n v="1"/>
    <n v="89.99"/>
    <s v="Debit Card"/>
    <s v="Central"/>
    <s v="Standard"/>
    <d v="2022-07-18T00:00:00"/>
    <n v="89.99"/>
    <s v="Dec"/>
    <n v="2024"/>
    <n v="1520"/>
    <n v="45657"/>
    <d v="2026-09-15T23:04:17"/>
  </r>
  <r>
    <s v="TRX0163"/>
    <d v="2024-12-19T00:00:00"/>
    <s v="CUST019"/>
    <x v="29"/>
    <s v="P001"/>
    <s v="Laptop"/>
    <s v="Electronics"/>
    <n v="5"/>
    <n v="899.99"/>
    <s v="Debit Card"/>
    <s v="East"/>
    <s v="Standard"/>
    <d v="2022-03-05T00:00:00"/>
    <n v="4499.95"/>
    <s v="Dec"/>
    <n v="2024"/>
    <n v="1655"/>
    <n v="45657"/>
    <d v="2026-09-15T23:04:17"/>
  </r>
  <r>
    <s v="TRX0046"/>
    <d v="2024-12-20T00:00:00"/>
    <s v="CUST003"/>
    <x v="4"/>
    <s v="P008"/>
    <s v="Bookshelf"/>
    <s v="Furniture"/>
    <n v="2"/>
    <n v="149.99"/>
    <s v="Cash"/>
    <s v="South"/>
    <s v="Basic"/>
    <d v="2023-11-09T00:00:00"/>
    <n v="299.98"/>
    <s v="Dec"/>
    <n v="2024"/>
    <n v="1041"/>
    <n v="45657"/>
    <d v="2026-09-15T23:04:17"/>
  </r>
  <r>
    <s v="TRX0164"/>
    <d v="2024-12-22T00:00:00"/>
    <s v="CUST014"/>
    <x v="21"/>
    <s v="P003"/>
    <s v="Headphones"/>
    <s v="Electronics"/>
    <n v="2"/>
    <n v="149.99"/>
    <s v="Debit Card"/>
    <s v="West"/>
    <s v="Premium"/>
    <d v="2023-12-20T00:00:00"/>
    <n v="299.98"/>
    <s v="Dec"/>
    <n v="2024"/>
    <n v="1000"/>
    <n v="45657"/>
    <d v="2026-09-15T23:04:17"/>
  </r>
  <r>
    <s v="TRX0008"/>
    <d v="2024-12-22T00:00:00"/>
    <s v="CUST007"/>
    <x v="35"/>
    <s v="P008"/>
    <s v="Bookshelf"/>
    <s v="Furniture"/>
    <n v="3"/>
    <n v="149.99"/>
    <s v="Debit Card"/>
    <s v="North"/>
    <s v="Standard"/>
    <d v="2021-11-22T00:00:00"/>
    <n v="449.97"/>
    <s v="Dec"/>
    <n v="2024"/>
    <n v="1758"/>
    <n v="45657"/>
    <d v="2026-09-15T23:04:17"/>
  </r>
  <r>
    <s v="TRX0171"/>
    <d v="2024-12-23T00:00:00"/>
    <s v="CUST021"/>
    <x v="2"/>
    <s v="P007"/>
    <s v="Desk"/>
    <s v="Furniture"/>
    <n v="2"/>
    <n v="299.99"/>
    <s v="PayPal"/>
    <s v="South"/>
    <s v="Basic"/>
    <d v="2022-06-09T00:00:00"/>
    <n v="599.98"/>
    <s v="Dec"/>
    <n v="2024"/>
    <n v="1559"/>
    <n v="45657"/>
    <d v="2026-09-15T23:04:17"/>
  </r>
  <r>
    <s v="TRX0143"/>
    <d v="2024-12-28T00:00:00"/>
    <s v="CUST003"/>
    <x v="4"/>
    <s v="P007"/>
    <s v="Desk"/>
    <s v="Furniture"/>
    <n v="2"/>
    <n v="299.99"/>
    <s v="Cash"/>
    <s v="West"/>
    <s v="Basic"/>
    <d v="2022-07-29T00:00:00"/>
    <n v="599.98"/>
    <s v="Dec"/>
    <n v="2024"/>
    <n v="1509"/>
    <n v="45657"/>
    <d v="2026-09-15T23:04:17"/>
  </r>
  <r>
    <s v="TRX0165"/>
    <d v="2024-12-28T00:00:00"/>
    <s v="CUST030"/>
    <x v="22"/>
    <s v="P006"/>
    <s v="Office Chair"/>
    <s v="Furniture"/>
    <n v="4"/>
    <n v="199.99"/>
    <s v="Credit Card"/>
    <s v="Central"/>
    <s v="Basic"/>
    <d v="2021-11-23T00:00:00"/>
    <n v="799.96"/>
    <s v="Dec"/>
    <n v="2024"/>
    <n v="1757"/>
    <n v="45657"/>
    <d v="2026-09-15T23:04:17"/>
  </r>
  <r>
    <s v="TRX0156"/>
    <d v="2024-12-29T00:00:00"/>
    <s v="CUST009"/>
    <x v="7"/>
    <s v="P010"/>
    <s v="Keyboard"/>
    <s v="Electronics"/>
    <n v="1"/>
    <n v="89.99"/>
    <s v="Credit Card"/>
    <s v="South"/>
    <s v="Premium"/>
    <d v="2022-01-30T00:00:00"/>
    <n v="89.99"/>
    <s v="Dec"/>
    <n v="2024"/>
    <n v="1689"/>
    <n v="45657"/>
    <d v="2026-09-15T23:04:17"/>
  </r>
  <r>
    <s v="TRX0147"/>
    <d v="2024-12-29T00:00:00"/>
    <s v="CUST036"/>
    <x v="20"/>
    <s v="P008"/>
    <s v="Bookshelf"/>
    <s v="Furniture"/>
    <n v="5"/>
    <n v="149.99"/>
    <s v="Cash"/>
    <s v="Central"/>
    <s v="Premium"/>
    <d v="2024-02-25T00:00:00"/>
    <n v="749.95"/>
    <s v="Dec"/>
    <n v="2024"/>
    <n v="933"/>
    <n v="45657"/>
    <d v="2026-09-15T23:04:17"/>
  </r>
  <r>
    <s v="TRX0207"/>
    <d v="2024-12-31T00:00:00"/>
    <s v="CUST025"/>
    <x v="14"/>
    <s v="P001"/>
    <s v="Laptop"/>
    <s v="Electronics"/>
    <n v="1"/>
    <n v="899.99"/>
    <s v="PayPal"/>
    <s v="North"/>
    <s v="Premium"/>
    <d v="2023-05-04T00:00:00"/>
    <n v="899.99"/>
    <s v="Dec"/>
    <n v="2024"/>
    <n v="1230"/>
    <n v="45657"/>
    <d v="2026-09-15T23:04:17"/>
  </r>
  <r>
    <s v="TRX0056"/>
    <d v="2025-01-03T00:00:00"/>
    <s v="CUST019"/>
    <x v="29"/>
    <s v="P010"/>
    <s v="Keyboard"/>
    <s v="Electronics"/>
    <n v="2"/>
    <n v="89.99"/>
    <s v="Credit Card"/>
    <s v="South"/>
    <s v="Premium"/>
    <d v="2022-01-03T00:00:00"/>
    <n v="179.98"/>
    <s v="Jan"/>
    <n v="2025"/>
    <n v="1716"/>
    <n v="45688"/>
    <d v="2026-09-15T23:04:17"/>
  </r>
  <r>
    <s v="TRX0026"/>
    <d v="2025-01-04T00:00:00"/>
    <s v="CUST037"/>
    <x v="48"/>
    <s v="P001"/>
    <s v="Laptop"/>
    <s v="Electronics"/>
    <n v="1"/>
    <n v="899.99"/>
    <s v="PayPal"/>
    <s v="North"/>
    <s v="Standard"/>
    <d v="2022-07-10T00:00:00"/>
    <n v="899.99"/>
    <s v="Jan"/>
    <n v="2025"/>
    <n v="1528"/>
    <n v="45688"/>
    <d v="2026-09-15T23:04:17"/>
  </r>
  <r>
    <s v="TRX0237"/>
    <d v="2025-01-06T00:00:00"/>
    <s v="CUST006"/>
    <x v="24"/>
    <s v="P003"/>
    <s v="Headphones"/>
    <s v="Electronics"/>
    <n v="5"/>
    <n v="149.99"/>
    <s v="PayPal"/>
    <s v="East"/>
    <s v="Premium"/>
    <d v="2022-09-20T00:00:00"/>
    <n v="749.95"/>
    <s v="Jan"/>
    <n v="2025"/>
    <n v="1456"/>
    <n v="45688"/>
    <d v="2026-09-15T23:04:17"/>
  </r>
  <r>
    <s v="TRX0091"/>
    <d v="2025-01-06T00:00:00"/>
    <s v="CUST003"/>
    <x v="4"/>
    <s v="P007"/>
    <s v="Desk"/>
    <s v="Furniture"/>
    <n v="3"/>
    <n v="299.99"/>
    <s v="Cash"/>
    <s v="South"/>
    <s v="Standard"/>
    <d v="2021-08-14T00:00:00"/>
    <n v="899.97"/>
    <s v="Jan"/>
    <n v="2025"/>
    <n v="1858"/>
    <n v="45688"/>
    <d v="2026-09-15T23:04:17"/>
  </r>
  <r>
    <s v="TRX0125"/>
    <d v="2025-01-09T00:00:00"/>
    <s v="CUST026"/>
    <x v="8"/>
    <s v="P002"/>
    <s v="Smartphone"/>
    <s v="Electronics"/>
    <n v="3"/>
    <n v="699.99"/>
    <s v="Credit Card"/>
    <s v="Central"/>
    <s v="Premium"/>
    <d v="2023-06-28T00:00:00"/>
    <n v="2099.9699999999998"/>
    <s v="Jan"/>
    <n v="2025"/>
    <n v="1175"/>
    <n v="45688"/>
    <d v="2026-09-15T23:04:17"/>
  </r>
  <r>
    <s v="TRX0223"/>
    <d v="2025-01-10T00:00:00"/>
    <s v="CUST036"/>
    <x v="20"/>
    <s v="P006"/>
    <s v="Office Chair"/>
    <s v="Furniture"/>
    <n v="5"/>
    <n v="199.99"/>
    <s v="PayPal"/>
    <s v="Central"/>
    <s v="Standard"/>
    <d v="2022-03-13T00:00:00"/>
    <n v="999.95"/>
    <s v="Jan"/>
    <n v="2025"/>
    <n v="1647"/>
    <n v="45688"/>
    <d v="2026-09-15T23:04:17"/>
  </r>
  <r>
    <s v="TRX0243"/>
    <d v="2025-01-10T00:00:00"/>
    <s v="CUST048"/>
    <x v="16"/>
    <s v="P009"/>
    <s v="Monitor"/>
    <s v="Electronics"/>
    <n v="5"/>
    <n v="249.99"/>
    <s v="Credit Card"/>
    <s v="South"/>
    <s v="Basic"/>
    <d v="2024-02-08T00:00:00"/>
    <n v="1249.95"/>
    <s v="Jan"/>
    <n v="2025"/>
    <n v="950"/>
    <n v="45688"/>
    <d v="2026-09-15T23:04:17"/>
  </r>
  <r>
    <s v="TRX0084"/>
    <d v="2025-01-11T00:00:00"/>
    <s v="CUST031"/>
    <x v="26"/>
    <s v="P003"/>
    <s v="Headphones"/>
    <s v="Electronics"/>
    <n v="4"/>
    <n v="149.99"/>
    <s v="Debit Card"/>
    <s v="East"/>
    <s v="Standard"/>
    <d v="2021-12-06T00:00:00"/>
    <n v="599.96"/>
    <s v="Jan"/>
    <n v="2025"/>
    <n v="1744"/>
    <n v="45688"/>
    <d v="2026-09-15T23:04:17"/>
  </r>
  <r>
    <s v="TRX0238"/>
    <d v="2025-01-11T00:00:00"/>
    <s v="CUST038"/>
    <x v="12"/>
    <s v="P002"/>
    <s v="Smartphone"/>
    <s v="Electronics"/>
    <n v="3"/>
    <n v="699.99"/>
    <s v="Cash"/>
    <s v="North"/>
    <s v="Premium"/>
    <d v="2022-02-10T00:00:00"/>
    <n v="2099.9699999999998"/>
    <s v="Jan"/>
    <n v="2025"/>
    <n v="1678"/>
    <n v="45688"/>
    <d v="2026-09-15T23:04:17"/>
  </r>
  <r>
    <s v="TRX0102"/>
    <d v="2025-01-13T00:00:00"/>
    <s v="CUST045"/>
    <x v="46"/>
    <s v="P004"/>
    <s v="Coffee Maker"/>
    <s v="Appliances"/>
    <n v="1"/>
    <n v="79.989999999999995"/>
    <s v="Credit Card"/>
    <s v="South"/>
    <s v="Basic"/>
    <d v="2024-01-31T00:00:00"/>
    <n v="79.989999999999995"/>
    <s v="Jan"/>
    <n v="2025"/>
    <n v="958"/>
    <n v="45688"/>
    <d v="2026-09-15T23:04:17"/>
  </r>
  <r>
    <s v="TRX0022"/>
    <d v="2025-01-13T00:00:00"/>
    <s v="CUST025"/>
    <x v="14"/>
    <s v="P007"/>
    <s v="Desk"/>
    <s v="Furniture"/>
    <n v="1"/>
    <n v="299.99"/>
    <s v="Credit Card"/>
    <s v="North"/>
    <s v="Basic"/>
    <d v="2021-08-28T00:00:00"/>
    <n v="299.99"/>
    <s v="Jan"/>
    <n v="2025"/>
    <n v="1844"/>
    <n v="45688"/>
    <d v="2026-09-15T23:04:17"/>
  </r>
  <r>
    <s v="TRX0087"/>
    <d v="2025-01-14T00:00:00"/>
    <s v="CUST028"/>
    <x v="32"/>
    <s v="P009"/>
    <s v="Monitor"/>
    <s v="Electronics"/>
    <n v="4"/>
    <n v="249.99"/>
    <s v="Credit Card"/>
    <s v="North"/>
    <s v="Premium"/>
    <d v="2021-09-21T00:00:00"/>
    <n v="999.96"/>
    <s v="Jan"/>
    <n v="2025"/>
    <n v="1820"/>
    <n v="45688"/>
    <d v="2026-09-15T23:04:17"/>
  </r>
  <r>
    <s v="TRX0107"/>
    <d v="2025-01-14T00:00:00"/>
    <s v="CUST030"/>
    <x v="22"/>
    <s v="P003"/>
    <s v="Headphones"/>
    <s v="Electronics"/>
    <n v="2"/>
    <n v="149.99"/>
    <s v="Cash"/>
    <s v="North"/>
    <s v="Standard"/>
    <d v="2022-12-18T00:00:00"/>
    <n v="299.98"/>
    <s v="Jan"/>
    <n v="2025"/>
    <n v="1367"/>
    <n v="45688"/>
    <d v="2026-09-15T23:04:17"/>
  </r>
  <r>
    <s v="TRX0051"/>
    <d v="2025-01-14T00:00:00"/>
    <s v="CUST032"/>
    <x v="42"/>
    <s v="P007"/>
    <s v="Desk"/>
    <s v="Furniture"/>
    <n v="3"/>
    <n v="299.99"/>
    <s v="Credit Card"/>
    <s v="South"/>
    <s v="Basic"/>
    <d v="2023-10-05T00:00:00"/>
    <n v="899.97"/>
    <s v="Jan"/>
    <n v="2025"/>
    <n v="1076"/>
    <n v="45688"/>
    <d v="2026-09-15T23:04:17"/>
  </r>
  <r>
    <s v="TRX0106"/>
    <d v="2025-01-16T00:00:00"/>
    <s v="CUST039"/>
    <x v="40"/>
    <s v="P006"/>
    <s v="Office Chair"/>
    <s v="Furniture"/>
    <n v="4"/>
    <n v="199.99"/>
    <s v="Debit Card"/>
    <s v="South"/>
    <s v="Standard"/>
    <d v="2021-12-14T00:00:00"/>
    <n v="799.96"/>
    <s v="Jan"/>
    <n v="2025"/>
    <n v="1736"/>
    <n v="45688"/>
    <d v="2026-09-15T23:04:17"/>
  </r>
  <r>
    <s v="TRX0059"/>
    <d v="2025-01-16T00:00:00"/>
    <s v="CUST016"/>
    <x v="39"/>
    <s v="P007"/>
    <s v="Desk"/>
    <s v="Furniture"/>
    <n v="5"/>
    <n v="299.99"/>
    <s v="Debit Card"/>
    <s v="Central"/>
    <s v="Basic"/>
    <d v="2021-08-23T00:00:00"/>
    <n v="1499.95"/>
    <s v="Jan"/>
    <n v="2025"/>
    <n v="1849"/>
    <n v="45688"/>
    <d v="2026-09-15T23:04:17"/>
  </r>
  <r>
    <s v="TRX0072"/>
    <d v="2025-01-16T00:00:00"/>
    <s v="CUST009"/>
    <x v="7"/>
    <s v="P008"/>
    <s v="Bookshelf"/>
    <s v="Furniture"/>
    <n v="3"/>
    <n v="149.99"/>
    <s v="Credit Card"/>
    <s v="East"/>
    <s v="Standard"/>
    <d v="2021-07-18T00:00:00"/>
    <n v="449.97"/>
    <s v="Jan"/>
    <n v="2025"/>
    <n v="1885"/>
    <n v="45688"/>
    <d v="2026-09-15T23:04:17"/>
  </r>
  <r>
    <s v="TRX0110"/>
    <d v="2025-01-19T00:00:00"/>
    <s v="CUST006"/>
    <x v="24"/>
    <s v="P005"/>
    <s v="Blender"/>
    <s v="Appliances"/>
    <n v="5"/>
    <n v="59.99"/>
    <s v="Debit Card"/>
    <s v="East"/>
    <s v="Basic"/>
    <d v="2022-03-22T00:00:00"/>
    <n v="299.95"/>
    <s v="Jan"/>
    <n v="2025"/>
    <n v="1638"/>
    <n v="45688"/>
    <d v="2026-09-15T23:04:17"/>
  </r>
  <r>
    <s v="TRX0126"/>
    <d v="2025-01-25T00:00:00"/>
    <s v="CUST022"/>
    <x v="9"/>
    <s v="P005"/>
    <s v="Blender"/>
    <s v="Appliances"/>
    <n v="4"/>
    <n v="59.99"/>
    <s v="Debit Card"/>
    <s v="East"/>
    <s v="Standard"/>
    <d v="2022-01-03T00:00:00"/>
    <n v="239.96"/>
    <s v="Jan"/>
    <n v="2025"/>
    <n v="1716"/>
    <n v="45688"/>
    <d v="2026-09-15T23:04:17"/>
  </r>
  <r>
    <s v="TRX0159"/>
    <d v="2025-01-26T00:00:00"/>
    <s v="CUST024"/>
    <x v="5"/>
    <s v="P009"/>
    <s v="Monitor"/>
    <s v="Electronics"/>
    <n v="4"/>
    <n v="249.99"/>
    <s v="Debit Card"/>
    <s v="Central"/>
    <s v="Premium"/>
    <d v="2023-10-18T00:00:00"/>
    <n v="999.96"/>
    <s v="Jan"/>
    <n v="2025"/>
    <n v="1063"/>
    <n v="45688"/>
    <d v="2026-09-15T23:04:17"/>
  </r>
  <r>
    <s v="TRX0030"/>
    <d v="2025-01-29T00:00:00"/>
    <s v="CUST011"/>
    <x v="44"/>
    <s v="P001"/>
    <s v="Laptop"/>
    <s v="Electronics"/>
    <n v="4"/>
    <n v="899.99"/>
    <s v="PayPal"/>
    <s v="Central"/>
    <s v="Basic"/>
    <d v="2022-06-22T00:00:00"/>
    <n v="3599.96"/>
    <s v="Jan"/>
    <n v="2025"/>
    <n v="1546"/>
    <n v="45688"/>
    <d v="2026-09-15T23:04:17"/>
  </r>
  <r>
    <s v="TRX0178"/>
    <d v="2025-01-29T00:00:00"/>
    <s v="CUST025"/>
    <x v="14"/>
    <s v="P007"/>
    <s v="Desk"/>
    <s v="Furniture"/>
    <n v="3"/>
    <n v="299.99"/>
    <s v="Debit Card"/>
    <s v="West"/>
    <s v="Standard"/>
    <d v="2023-01-26T00:00:00"/>
    <n v="899.97"/>
    <s v="Jan"/>
    <n v="2025"/>
    <n v="1328"/>
    <n v="45688"/>
    <d v="2026-09-15T23:04:17"/>
  </r>
  <r>
    <s v="TRX0188"/>
    <d v="2025-01-29T00:00:00"/>
    <s v="CUST045"/>
    <x v="46"/>
    <s v="P002"/>
    <s v="Smartphone"/>
    <s v="Electronics"/>
    <n v="2"/>
    <n v="699.99"/>
    <s v="Debit Card"/>
    <s v="Central"/>
    <s v="Premium"/>
    <d v="2022-04-30T00:00:00"/>
    <n v="1399.98"/>
    <s v="Jan"/>
    <n v="2025"/>
    <n v="1599"/>
    <n v="45688"/>
    <d v="2026-09-15T23:04:17"/>
  </r>
  <r>
    <s v="TRX0010"/>
    <d v="2025-01-31T00:00:00"/>
    <s v="CUST026"/>
    <x v="8"/>
    <s v="P002"/>
    <s v="Smartphone"/>
    <s v="Electronics"/>
    <n v="4"/>
    <n v="699.99"/>
    <s v="Debit Card"/>
    <s v="West"/>
    <s v="Premium"/>
    <d v="2022-05-11T00:00:00"/>
    <n v="2799.96"/>
    <s v="Jan"/>
    <n v="2025"/>
    <n v="1588"/>
    <n v="45688"/>
    <d v="2026-09-15T23:04:17"/>
  </r>
  <r>
    <s v="TRX0069"/>
    <d v="2025-01-31T00:00:00"/>
    <s v="CUST029"/>
    <x v="23"/>
    <s v="P010"/>
    <s v="Keyboard"/>
    <s v="Electronics"/>
    <n v="2"/>
    <n v="89.99"/>
    <s v="Debit Card"/>
    <s v="South"/>
    <s v="Basic"/>
    <d v="2022-08-04T00:00:00"/>
    <n v="179.98"/>
    <s v="Jan"/>
    <n v="2025"/>
    <n v="1503"/>
    <n v="45688"/>
    <d v="2026-09-15T23:04:17"/>
  </r>
  <r>
    <s v="TRX0166"/>
    <d v="2025-01-31T00:00:00"/>
    <s v="CUST003"/>
    <x v="4"/>
    <s v="P010"/>
    <s v="Keyboard"/>
    <s v="Electronics"/>
    <n v="3"/>
    <n v="89.99"/>
    <s v="Debit Card"/>
    <s v="South"/>
    <s v="Premium"/>
    <d v="2024-01-16T00:00:00"/>
    <n v="269.97000000000003"/>
    <s v="Jan"/>
    <n v="2025"/>
    <n v="973"/>
    <n v="45688"/>
    <d v="2026-09-15T23:04:17"/>
  </r>
  <r>
    <s v="TRX0219"/>
    <d v="2025-02-04T00:00:00"/>
    <s v="CUST037"/>
    <x v="48"/>
    <s v="P005"/>
    <s v="Blender"/>
    <s v="Appliances"/>
    <n v="1"/>
    <n v="59.99"/>
    <s v="Debit Card"/>
    <s v="Central"/>
    <s v="Standard"/>
    <d v="2023-04-29T00:00:00"/>
    <n v="59.99"/>
    <s v="Feb"/>
    <n v="2025"/>
    <n v="1235"/>
    <n v="45716"/>
    <d v="2026-09-15T23:04:17"/>
  </r>
  <r>
    <s v="TRX0024"/>
    <d v="2025-02-07T00:00:00"/>
    <s v="CUST042"/>
    <x v="43"/>
    <s v="P008"/>
    <s v="Bookshelf"/>
    <s v="Furniture"/>
    <n v="3"/>
    <n v="149.99"/>
    <s v="Debit Card"/>
    <s v="North"/>
    <s v="Premium"/>
    <d v="2022-01-03T00:00:00"/>
    <n v="449.97"/>
    <s v="Feb"/>
    <n v="2025"/>
    <n v="1716"/>
    <n v="45716"/>
    <d v="2026-09-15T23:04:17"/>
  </r>
  <r>
    <s v="TRX0105"/>
    <d v="2025-02-07T00:00:00"/>
    <s v="CUST048"/>
    <x v="16"/>
    <s v="P007"/>
    <s v="Desk"/>
    <s v="Furniture"/>
    <n v="5"/>
    <n v="299.99"/>
    <s v="Credit Card"/>
    <s v="South"/>
    <s v="Basic"/>
    <d v="2023-02-02T00:00:00"/>
    <n v="1499.95"/>
    <s v="Feb"/>
    <n v="2025"/>
    <n v="1321"/>
    <n v="45716"/>
    <d v="2026-09-15T23:04:17"/>
  </r>
  <r>
    <s v="TRX0011"/>
    <d v="2025-02-08T00:00:00"/>
    <s v="CUST040"/>
    <x v="30"/>
    <s v="P005"/>
    <s v="Blender"/>
    <s v="Appliances"/>
    <n v="5"/>
    <n v="59.99"/>
    <s v="Debit Card"/>
    <s v="Central"/>
    <s v="Standard"/>
    <d v="2023-09-08T00:00:00"/>
    <n v="299.95"/>
    <s v="Feb"/>
    <n v="2025"/>
    <n v="1103"/>
    <n v="45716"/>
    <d v="2026-09-15T23:04:17"/>
  </r>
  <r>
    <s v="TRX0187"/>
    <d v="2025-02-13T00:00:00"/>
    <s v="CUST036"/>
    <x v="20"/>
    <s v="P004"/>
    <s v="Coffee Maker"/>
    <s v="Appliances"/>
    <n v="3"/>
    <n v="79.989999999999995"/>
    <s v="Cash"/>
    <s v="East"/>
    <s v="Premium"/>
    <d v="2021-08-28T00:00:00"/>
    <n v="239.97"/>
    <s v="Feb"/>
    <n v="2025"/>
    <n v="1844"/>
    <n v="45716"/>
    <d v="2026-09-15T23:04:17"/>
  </r>
  <r>
    <s v="TRX0089"/>
    <d v="2025-02-16T00:00:00"/>
    <s v="CUST021"/>
    <x v="2"/>
    <s v="P006"/>
    <s v="Office Chair"/>
    <s v="Furniture"/>
    <n v="3"/>
    <n v="199.99"/>
    <s v="Cash"/>
    <s v="Central"/>
    <s v="Basic"/>
    <d v="2022-06-23T00:00:00"/>
    <n v="599.97"/>
    <s v="Feb"/>
    <n v="2025"/>
    <n v="1545"/>
    <n v="45716"/>
    <d v="2026-09-15T23:04:17"/>
  </r>
  <r>
    <s v="TRX0196"/>
    <d v="2025-02-16T00:00:00"/>
    <s v="CUST023"/>
    <x v="0"/>
    <s v="P010"/>
    <s v="Keyboard"/>
    <s v="Electronics"/>
    <n v="2"/>
    <n v="89.99"/>
    <s v="PayPal"/>
    <s v="Central"/>
    <s v="Basic"/>
    <d v="2023-11-27T00:00:00"/>
    <n v="179.98"/>
    <s v="Feb"/>
    <n v="2025"/>
    <n v="1023"/>
    <n v="45716"/>
    <d v="2026-09-15T23:04:17"/>
  </r>
  <r>
    <s v="TRX0118"/>
    <d v="2025-02-17T00:00:00"/>
    <s v="CUST015"/>
    <x v="45"/>
    <s v="P008"/>
    <s v="Bookshelf"/>
    <s v="Furniture"/>
    <n v="2"/>
    <n v="149.99"/>
    <s v="Cash"/>
    <s v="South"/>
    <s v="Premium"/>
    <d v="2022-06-16T00:00:00"/>
    <n v="299.98"/>
    <s v="Feb"/>
    <n v="2025"/>
    <n v="1552"/>
    <n v="45716"/>
    <d v="2026-09-15T23:04:17"/>
  </r>
  <r>
    <s v="TRX0179"/>
    <d v="2025-02-19T00:00:00"/>
    <s v="CUST029"/>
    <x v="23"/>
    <s v="P002"/>
    <s v="Smartphone"/>
    <s v="Electronics"/>
    <n v="5"/>
    <n v="699.99"/>
    <s v="PayPal"/>
    <s v="South"/>
    <s v="Premium"/>
    <d v="2024-03-01T00:00:00"/>
    <n v="3499.95"/>
    <s v="Feb"/>
    <n v="2025"/>
    <n v="928"/>
    <n v="45716"/>
    <d v="2026-09-15T23:04:17"/>
  </r>
  <r>
    <s v="TRX0168"/>
    <d v="2025-02-19T00:00:00"/>
    <s v="CUST003"/>
    <x v="4"/>
    <s v="P008"/>
    <s v="Bookshelf"/>
    <s v="Furniture"/>
    <n v="3"/>
    <n v="149.99"/>
    <s v="PayPal"/>
    <s v="Central"/>
    <s v="Standard"/>
    <d v="2022-03-13T00:00:00"/>
    <n v="449.97"/>
    <s v="Feb"/>
    <n v="2025"/>
    <n v="1647"/>
    <n v="45716"/>
    <d v="2026-09-15T23:04:17"/>
  </r>
  <r>
    <s v="TRX0214"/>
    <d v="2025-02-20T00:00:00"/>
    <s v="CUST018"/>
    <x v="17"/>
    <s v="P001"/>
    <s v="Laptop"/>
    <s v="Electronics"/>
    <n v="3"/>
    <n v="899.99"/>
    <s v="Cash"/>
    <s v="East"/>
    <s v="Standard"/>
    <d v="2022-02-21T00:00:00"/>
    <n v="2699.97"/>
    <s v="Feb"/>
    <n v="2025"/>
    <n v="1667"/>
    <n v="45716"/>
    <d v="2026-09-15T23:04:17"/>
  </r>
  <r>
    <s v="TRX0221"/>
    <d v="2025-02-20T00:00:00"/>
    <s v="CUST033"/>
    <x v="37"/>
    <s v="P006"/>
    <s v="Office Chair"/>
    <s v="Furniture"/>
    <n v="3"/>
    <n v="199.99"/>
    <s v="Cash"/>
    <s v="West"/>
    <s v="Premium"/>
    <d v="2022-09-19T00:00:00"/>
    <n v="599.97"/>
    <s v="Feb"/>
    <n v="2025"/>
    <n v="1457"/>
    <n v="45716"/>
    <d v="2026-09-15T23:04:17"/>
  </r>
  <r>
    <s v="TRX0083"/>
    <d v="2025-02-22T00:00:00"/>
    <s v="CUST017"/>
    <x v="6"/>
    <s v="P007"/>
    <s v="Desk"/>
    <s v="Furniture"/>
    <n v="5"/>
    <n v="299.99"/>
    <s v="Cash"/>
    <s v="West"/>
    <s v="Standard"/>
    <d v="2023-08-04T00:00:00"/>
    <n v="1499.95"/>
    <s v="Feb"/>
    <n v="2025"/>
    <n v="1138"/>
    <n v="45716"/>
    <d v="2026-09-15T23:04:17"/>
  </r>
  <r>
    <s v="TRX0151"/>
    <d v="2025-02-22T00:00:00"/>
    <s v="CUST040"/>
    <x v="30"/>
    <s v="P002"/>
    <s v="Smartphone"/>
    <s v="Electronics"/>
    <n v="1"/>
    <n v="699.99"/>
    <s v="PayPal"/>
    <s v="West"/>
    <s v="Basic"/>
    <d v="2023-01-08T00:00:00"/>
    <n v="699.99"/>
    <s v="Feb"/>
    <n v="2025"/>
    <n v="1346"/>
    <n v="45716"/>
    <d v="2026-09-15T23:04:17"/>
  </r>
  <r>
    <s v="TRX0047"/>
    <d v="2025-02-23T00:00:00"/>
    <s v="CUST042"/>
    <x v="43"/>
    <s v="P002"/>
    <s v="Smartphone"/>
    <s v="Electronics"/>
    <n v="1"/>
    <n v="699.99"/>
    <s v="Cash"/>
    <s v="North"/>
    <s v="Premium"/>
    <d v="2022-01-22T00:00:00"/>
    <n v="699.99"/>
    <s v="Feb"/>
    <n v="2025"/>
    <n v="1697"/>
    <n v="45716"/>
    <d v="2026-09-15T23:04:17"/>
  </r>
  <r>
    <s v="TRX0200"/>
    <d v="2025-02-23T00:00:00"/>
    <s v="CUST037"/>
    <x v="48"/>
    <s v="P008"/>
    <s v="Bookshelf"/>
    <s v="Furniture"/>
    <n v="4"/>
    <n v="149.99"/>
    <s v="PayPal"/>
    <s v="North"/>
    <s v="Premium"/>
    <d v="2021-08-04T00:00:00"/>
    <n v="599.96"/>
    <s v="Feb"/>
    <n v="2025"/>
    <n v="1868"/>
    <n v="45716"/>
    <d v="2026-09-15T23:04:17"/>
  </r>
  <r>
    <s v="TRX0062"/>
    <d v="2025-02-23T00:00:00"/>
    <s v="CUST016"/>
    <x v="39"/>
    <s v="P010"/>
    <s v="Keyboard"/>
    <s v="Electronics"/>
    <n v="5"/>
    <n v="89.99"/>
    <s v="PayPal"/>
    <s v="West"/>
    <s v="Premium"/>
    <d v="2023-08-02T00:00:00"/>
    <n v="449.95"/>
    <s v="Feb"/>
    <n v="2025"/>
    <n v="1140"/>
    <n v="45716"/>
    <d v="2026-09-15T23:04:17"/>
  </r>
  <r>
    <s v="TRX0182"/>
    <d v="2025-02-24T00:00:00"/>
    <s v="CUST031"/>
    <x v="26"/>
    <s v="P006"/>
    <s v="Office Chair"/>
    <s v="Furniture"/>
    <n v="2"/>
    <n v="199.99"/>
    <s v="Cash"/>
    <s v="Central"/>
    <s v="Premium"/>
    <d v="2022-01-12T00:00:00"/>
    <n v="399.98"/>
    <s v="Feb"/>
    <n v="2025"/>
    <n v="1707"/>
    <n v="45716"/>
    <d v="2026-09-15T23:04:17"/>
  </r>
  <r>
    <s v="TRX0229"/>
    <d v="2025-02-27T00:00:00"/>
    <s v="CUST015"/>
    <x v="45"/>
    <s v="P005"/>
    <s v="Blender"/>
    <s v="Appliances"/>
    <n v="4"/>
    <n v="59.99"/>
    <s v="Cash"/>
    <s v="West"/>
    <s v="Standard"/>
    <d v="2023-05-24T00:00:00"/>
    <n v="239.96"/>
    <s v="Feb"/>
    <n v="2025"/>
    <n v="1210"/>
    <n v="45716"/>
    <d v="2026-09-15T23:04:17"/>
  </r>
  <r>
    <s v="TRX0048"/>
    <d v="2025-02-27T00:00:00"/>
    <s v="CUST048"/>
    <x v="16"/>
    <s v="P007"/>
    <s v="Desk"/>
    <s v="Furniture"/>
    <n v="2"/>
    <n v="299.99"/>
    <s v="PayPal"/>
    <s v="South"/>
    <s v="Basic"/>
    <d v="2022-01-15T00:00:00"/>
    <n v="599.98"/>
    <s v="Feb"/>
    <n v="2025"/>
    <n v="1704"/>
    <n v="45716"/>
    <d v="2026-09-15T23:04:17"/>
  </r>
  <r>
    <s v="TRX0227"/>
    <d v="2025-03-02T00:00:00"/>
    <s v="CUST017"/>
    <x v="6"/>
    <s v="P008"/>
    <s v="Bookshelf"/>
    <s v="Furniture"/>
    <n v="2"/>
    <n v="149.99"/>
    <s v="Cash"/>
    <s v="Central"/>
    <s v="Basic"/>
    <d v="2023-05-22T00:00:00"/>
    <n v="299.98"/>
    <s v="Mar"/>
    <n v="2025"/>
    <n v="1212"/>
    <n v="45747"/>
    <d v="2026-09-15T23:04:17"/>
  </r>
  <r>
    <s v="TRX0226"/>
    <d v="2025-03-04T00:00:00"/>
    <s v="CUST039"/>
    <x v="40"/>
    <s v="P002"/>
    <s v="Smartphone"/>
    <s v="Electronics"/>
    <n v="5"/>
    <n v="699.99"/>
    <s v="Debit Card"/>
    <s v="East"/>
    <s v="Premium"/>
    <d v="2023-08-23T00:00:00"/>
    <n v="3499.95"/>
    <s v="Mar"/>
    <n v="2025"/>
    <n v="1119"/>
    <n v="45747"/>
    <d v="2026-09-15T23:04:17"/>
  </r>
  <r>
    <s v="TRX0053"/>
    <d v="2025-03-05T00:00:00"/>
    <s v="CUST043"/>
    <x v="11"/>
    <s v="P005"/>
    <s v="Blender"/>
    <s v="Appliances"/>
    <n v="5"/>
    <n v="59.99"/>
    <s v="Cash"/>
    <s v="West"/>
    <s v="Premium"/>
    <d v="2023-12-31T00:00:00"/>
    <n v="299.95"/>
    <s v="Mar"/>
    <n v="2025"/>
    <n v="989"/>
    <n v="45747"/>
    <d v="2026-09-15T23:04:17"/>
  </r>
  <r>
    <s v="TRX0233"/>
    <d v="2025-03-07T00:00:00"/>
    <s v="CUST023"/>
    <x v="0"/>
    <s v="P010"/>
    <s v="Keyboard"/>
    <s v="Electronics"/>
    <n v="2"/>
    <n v="89.99"/>
    <s v="Credit Card"/>
    <s v="West"/>
    <s v="Premium"/>
    <d v="2024-01-04T00:00:00"/>
    <n v="179.98"/>
    <s v="Mar"/>
    <n v="2025"/>
    <n v="985"/>
    <n v="45747"/>
    <d v="2026-09-15T23:04:17"/>
  </r>
  <r>
    <s v="TRX0175"/>
    <d v="2025-03-07T00:00:00"/>
    <s v="CUST030"/>
    <x v="22"/>
    <s v="P009"/>
    <s v="Monitor"/>
    <s v="Electronics"/>
    <n v="5"/>
    <n v="249.99"/>
    <s v="Cash"/>
    <s v="East"/>
    <s v="Standard"/>
    <d v="2021-12-10T00:00:00"/>
    <n v="1249.95"/>
    <s v="Mar"/>
    <n v="2025"/>
    <n v="1740"/>
    <n v="45747"/>
    <d v="2026-09-15T23:04:17"/>
  </r>
  <r>
    <s v="TRX0186"/>
    <d v="2025-03-08T00:00:00"/>
    <s v="CUST039"/>
    <x v="40"/>
    <s v="P008"/>
    <s v="Bookshelf"/>
    <s v="Furniture"/>
    <n v="2"/>
    <n v="149.99"/>
    <s v="PayPal"/>
    <s v="Central"/>
    <s v="Premium"/>
    <d v="2022-03-12T00:00:00"/>
    <n v="299.98"/>
    <s v="Mar"/>
    <n v="2025"/>
    <n v="1648"/>
    <n v="45747"/>
    <d v="2026-09-15T23:04:17"/>
  </r>
  <r>
    <s v="TRX0016"/>
    <d v="2025-03-08T00:00:00"/>
    <s v="CUST035"/>
    <x v="28"/>
    <s v="P001"/>
    <s v="Laptop"/>
    <s v="Electronics"/>
    <n v="5"/>
    <n v="899.99"/>
    <s v="PayPal"/>
    <s v="East"/>
    <s v="Premium"/>
    <d v="2024-04-07T00:00:00"/>
    <n v="4499.95"/>
    <s v="Mar"/>
    <n v="2025"/>
    <n v="891"/>
    <n v="45747"/>
    <d v="2026-09-15T23:04:17"/>
  </r>
  <r>
    <s v="TRX0199"/>
    <d v="2025-03-08T00:00:00"/>
    <s v="CUST017"/>
    <x v="6"/>
    <s v="P008"/>
    <s v="Bookshelf"/>
    <s v="Furniture"/>
    <n v="4"/>
    <n v="149.99"/>
    <s v="Cash"/>
    <s v="Central"/>
    <s v="Standard"/>
    <d v="2023-12-03T00:00:00"/>
    <n v="599.96"/>
    <s v="Mar"/>
    <n v="2025"/>
    <n v="1017"/>
    <n v="45747"/>
    <d v="2026-09-15T23:04:17"/>
  </r>
  <r>
    <s v="TRX0038"/>
    <d v="2025-03-10T00:00:00"/>
    <s v="CUST035"/>
    <x v="28"/>
    <s v="P009"/>
    <s v="Monitor"/>
    <s v="Electronics"/>
    <n v="1"/>
    <n v="249.99"/>
    <s v="Cash"/>
    <s v="North"/>
    <s v="Standard"/>
    <d v="2023-07-10T00:00:00"/>
    <n v="249.99"/>
    <s v="Mar"/>
    <n v="2025"/>
    <n v="1163"/>
    <n v="45747"/>
    <d v="2026-09-15T23:04:17"/>
  </r>
  <r>
    <s v="TRX0014"/>
    <d v="2025-03-18T00:00:00"/>
    <s v="CUST033"/>
    <x v="37"/>
    <s v="P005"/>
    <s v="Blender"/>
    <s v="Appliances"/>
    <n v="2"/>
    <n v="59.99"/>
    <s v="Credit Card"/>
    <s v="West"/>
    <s v="Basic"/>
    <d v="2023-09-24T00:00:00"/>
    <n v="119.98"/>
    <s v="Mar"/>
    <n v="2025"/>
    <n v="1087"/>
    <n v="45747"/>
    <d v="2026-09-15T23:04:17"/>
  </r>
  <r>
    <s v="TRX0003"/>
    <d v="2025-03-21T00:00:00"/>
    <s v="CUST002"/>
    <x v="25"/>
    <s v="P008"/>
    <s v="Bookshelf"/>
    <s v="Furniture"/>
    <n v="2"/>
    <n v="149.99"/>
    <s v="Cash"/>
    <s v="West"/>
    <s v="Premium"/>
    <d v="2023-11-03T00:00:00"/>
    <n v="299.98"/>
    <s v="Mar"/>
    <n v="2025"/>
    <n v="1047"/>
    <n v="45747"/>
    <d v="2026-09-15T23:04:17"/>
  </r>
  <r>
    <s v="TRX0124"/>
    <d v="2025-03-21T00:00:00"/>
    <s v="CUST040"/>
    <x v="30"/>
    <s v="P001"/>
    <s v="Laptop"/>
    <s v="Electronics"/>
    <n v="3"/>
    <n v="899.99"/>
    <s v="Debit Card"/>
    <s v="North"/>
    <s v="Premium"/>
    <d v="2022-11-11T00:00:00"/>
    <n v="2699.97"/>
    <s v="Mar"/>
    <n v="2025"/>
    <n v="1404"/>
    <n v="45747"/>
    <d v="2026-09-15T23:04:17"/>
  </r>
  <r>
    <s v="TRX0013"/>
    <d v="2025-03-21T00:00:00"/>
    <s v="CUST024"/>
    <x v="5"/>
    <s v="P001"/>
    <s v="Laptop"/>
    <s v="Electronics"/>
    <n v="3"/>
    <n v="899.99"/>
    <s v="PayPal"/>
    <s v="North"/>
    <s v="Basic"/>
    <d v="2023-02-18T00:00:00"/>
    <n v="2699.97"/>
    <s v="Mar"/>
    <n v="2025"/>
    <n v="1305"/>
    <n v="45747"/>
    <d v="2026-09-15T23:04:17"/>
  </r>
  <r>
    <s v="TRX0019"/>
    <d v="2025-03-23T00:00:00"/>
    <s v="CUST023"/>
    <x v="0"/>
    <s v="P007"/>
    <s v="Desk"/>
    <s v="Furniture"/>
    <n v="3"/>
    <n v="299.99"/>
    <s v="Credit Card"/>
    <s v="West"/>
    <s v="Premium"/>
    <d v="2023-11-04T00:00:00"/>
    <n v="899.97"/>
    <s v="Mar"/>
    <n v="2025"/>
    <n v="1046"/>
    <n v="45747"/>
    <d v="2026-09-15T23:04:17"/>
  </r>
  <r>
    <s v="TRX0050"/>
    <d v="2025-03-24T00:00:00"/>
    <s v="CUST001"/>
    <x v="49"/>
    <s v="P008"/>
    <s v="Bookshelf"/>
    <s v="Furniture"/>
    <n v="4"/>
    <n v="149.99"/>
    <s v="PayPal"/>
    <s v="West"/>
    <s v="Standard"/>
    <d v="2021-12-30T00:00:00"/>
    <n v="599.96"/>
    <s v="Mar"/>
    <n v="2025"/>
    <n v="1720"/>
    <n v="45747"/>
    <d v="2026-09-15T23:04:17"/>
  </r>
  <r>
    <s v="TRX0152"/>
    <d v="2025-03-27T00:00:00"/>
    <s v="CUST044"/>
    <x v="19"/>
    <s v="P004"/>
    <s v="Coffee Maker"/>
    <s v="Appliances"/>
    <n v="4"/>
    <n v="79.989999999999995"/>
    <s v="Credit Card"/>
    <s v="Central"/>
    <s v="Basic"/>
    <d v="2023-12-28T00:00:00"/>
    <n v="319.95999999999998"/>
    <s v="Mar"/>
    <n v="2025"/>
    <n v="992"/>
    <n v="45747"/>
    <d v="2026-09-15T23:04:17"/>
  </r>
  <r>
    <s v="TRX0213"/>
    <d v="2025-03-29T00:00:00"/>
    <s v="CUST020"/>
    <x v="36"/>
    <s v="P010"/>
    <s v="Keyboard"/>
    <s v="Electronics"/>
    <n v="5"/>
    <n v="89.99"/>
    <s v="PayPal"/>
    <s v="South"/>
    <s v="Basic"/>
    <d v="2022-05-23T00:00:00"/>
    <n v="449.95"/>
    <s v="Mar"/>
    <n v="2025"/>
    <n v="1576"/>
    <n v="45747"/>
    <d v="2026-09-15T23:04:17"/>
  </r>
  <r>
    <s v="TRX0197"/>
    <d v="2025-03-30T00:00:00"/>
    <s v="CUST048"/>
    <x v="16"/>
    <s v="P008"/>
    <s v="Bookshelf"/>
    <s v="Furniture"/>
    <n v="3"/>
    <n v="149.99"/>
    <s v="PayPal"/>
    <s v="Central"/>
    <s v="Standard"/>
    <d v="2023-09-02T00:00:00"/>
    <n v="449.97"/>
    <s v="Mar"/>
    <n v="2025"/>
    <n v="1109"/>
    <n v="45747"/>
    <d v="2026-09-15T23:04:17"/>
  </r>
  <r>
    <s v="TRX0250"/>
    <d v="2025-03-30T00:00:00"/>
    <s v="CUST026"/>
    <x v="8"/>
    <s v="P010"/>
    <s v="Keyboard"/>
    <s v="Electronics"/>
    <n v="2"/>
    <n v="89.99"/>
    <s v="Debit Card"/>
    <s v="West"/>
    <s v="Premium"/>
    <d v="2021-11-22T00:00:00"/>
    <n v="179.98"/>
    <s v="Mar"/>
    <n v="2025"/>
    <n v="1758"/>
    <n v="45747"/>
    <d v="2026-09-15T23:04:17"/>
  </r>
  <r>
    <s v="TRX0068"/>
    <d v="2025-04-01T00:00:00"/>
    <s v="CUST044"/>
    <x v="19"/>
    <s v="P002"/>
    <s v="Smartphone"/>
    <s v="Electronics"/>
    <n v="2"/>
    <n v="699.99"/>
    <s v="PayPal"/>
    <s v="North"/>
    <s v="Standard"/>
    <d v="2022-02-26T00:00:00"/>
    <n v="1399.98"/>
    <s v="Apr"/>
    <n v="2025"/>
    <n v="1662"/>
    <n v="45777"/>
    <d v="2026-09-15T23:04:17"/>
  </r>
  <r>
    <s v="TRX0144"/>
    <d v="2025-04-02T00:00:00"/>
    <s v="CUST029"/>
    <x v="23"/>
    <s v="P001"/>
    <s v="Laptop"/>
    <s v="Electronics"/>
    <n v="3"/>
    <n v="899.99"/>
    <s v="Cash"/>
    <s v="Central"/>
    <s v="Standard"/>
    <d v="2023-01-27T00:00:00"/>
    <n v="2699.97"/>
    <s v="Apr"/>
    <n v="2025"/>
    <n v="1327"/>
    <n v="45777"/>
    <d v="2026-09-15T23:04:17"/>
  </r>
  <r>
    <s v="TRX0039"/>
    <d v="2025-04-08T00:00:00"/>
    <s v="CUST048"/>
    <x v="16"/>
    <s v="P004"/>
    <s v="Coffee Maker"/>
    <s v="Appliances"/>
    <n v="3"/>
    <n v="79.989999999999995"/>
    <s v="Credit Card"/>
    <s v="North"/>
    <s v="Basic"/>
    <d v="2021-11-11T00:00:00"/>
    <n v="239.97"/>
    <s v="Apr"/>
    <n v="2025"/>
    <n v="1769"/>
    <n v="45777"/>
    <d v="2026-09-15T23:04:17"/>
  </r>
  <r>
    <s v="TRX0116"/>
    <d v="2025-04-09T00:00:00"/>
    <s v="CUST009"/>
    <x v="7"/>
    <s v="P010"/>
    <s v="Keyboard"/>
    <s v="Electronics"/>
    <n v="1"/>
    <n v="89.99"/>
    <s v="Debit Card"/>
    <s v="East"/>
    <s v="Basic"/>
    <d v="2024-02-24T00:00:00"/>
    <n v="89.99"/>
    <s v="Apr"/>
    <n v="2025"/>
    <n v="934"/>
    <n v="45777"/>
    <d v="2026-09-15T23:04:17"/>
  </r>
  <r>
    <s v="TRX0120"/>
    <d v="2025-04-11T00:00:00"/>
    <s v="CUST045"/>
    <x v="46"/>
    <s v="P002"/>
    <s v="Smartphone"/>
    <s v="Electronics"/>
    <n v="3"/>
    <n v="699.99"/>
    <s v="PayPal"/>
    <s v="North"/>
    <s v="Basic"/>
    <d v="2022-12-14T00:00:00"/>
    <n v="2099.9699999999998"/>
    <s v="Apr"/>
    <n v="2025"/>
    <n v="1371"/>
    <n v="45777"/>
    <d v="2026-09-15T23:04:17"/>
  </r>
  <r>
    <s v="TRX0103"/>
    <d v="2025-04-11T00:00:00"/>
    <s v="CUST039"/>
    <x v="40"/>
    <s v="P010"/>
    <s v="Keyboard"/>
    <s v="Electronics"/>
    <n v="2"/>
    <n v="89.99"/>
    <s v="Debit Card"/>
    <s v="East"/>
    <s v="Basic"/>
    <d v="2023-06-11T00:00:00"/>
    <n v="179.98"/>
    <s v="Apr"/>
    <n v="2025"/>
    <n v="1192"/>
    <n v="45777"/>
    <d v="2026-09-15T23:04:17"/>
  </r>
  <r>
    <s v="TRX0064"/>
    <d v="2025-04-11T00:00:00"/>
    <s v="CUST031"/>
    <x v="26"/>
    <s v="P010"/>
    <s v="Keyboard"/>
    <s v="Electronics"/>
    <n v="3"/>
    <n v="89.99"/>
    <s v="Debit Card"/>
    <s v="North"/>
    <s v="Premium"/>
    <d v="2022-11-13T00:00:00"/>
    <n v="269.97000000000003"/>
    <s v="Apr"/>
    <n v="2025"/>
    <n v="1402"/>
    <n v="45777"/>
    <d v="2026-09-15T23:0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4:H18"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1"/>
  </rowFields>
  <rowItems count="4">
    <i>
      <x/>
    </i>
    <i>
      <x v="1"/>
    </i>
    <i>
      <x v="2"/>
    </i>
    <i t="grand">
      <x/>
    </i>
  </rowItems>
  <colItems count="1">
    <i/>
  </colItems>
  <dataFields count="1">
    <dataField name="Sum of Total_Amount" fld="13" baseField="0" baseItem="0" numFmtId="164"/>
  </dataFields>
  <formats count="14">
    <format dxfId="16">
      <pivotArea type="all" dataOnly="0" outline="0" fieldPosition="0"/>
    </format>
    <format dxfId="15">
      <pivotArea outline="0" collapsedLevelsAreSubtotals="1" fieldPosition="0"/>
    </format>
    <format dxfId="14">
      <pivotArea field="11" type="button" dataOnly="0" labelOnly="1" outline="0" axis="axisRow" fieldPosition="0"/>
    </format>
    <format dxfId="13">
      <pivotArea dataOnly="0" labelOnly="1" fieldPosition="0">
        <references count="1">
          <reference field="11" count="0"/>
        </references>
      </pivotArea>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1" type="button" dataOnly="0" labelOnly="1" outline="0" axis="axisRow" fieldPosition="0"/>
    </format>
    <format dxfId="7">
      <pivotArea dataOnly="0" labelOnly="1" fieldPosition="0">
        <references count="1">
          <reference field="11" count="0"/>
        </references>
      </pivotArea>
    </format>
    <format dxfId="6">
      <pivotArea dataOnly="0" labelOnly="1" grandRow="1" outline="0" fieldPosition="0"/>
    </format>
    <format dxfId="5">
      <pivotArea dataOnly="0" labelOnly="1" outline="0" axis="axisValues" fieldPosition="0"/>
    </format>
    <format dxfId="4">
      <pivotArea field="11" type="button" dataOnly="0" labelOnly="1" outline="0" axis="axisRow" fieldPosition="0"/>
    </format>
    <format dxfId="3">
      <pivotArea dataOnly="0" labelOnly="1" outline="0" axis="axisValues" fieldPosition="0"/>
    </format>
  </formats>
  <chartFormats count="8">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1" count="1" selected="0">
            <x v="0"/>
          </reference>
        </references>
      </pivotArea>
    </chartFormat>
    <chartFormat chart="20" format="7">
      <pivotArea type="data" outline="0" fieldPosition="0">
        <references count="2">
          <reference field="4294967294" count="1" selected="0">
            <x v="0"/>
          </reference>
          <reference field="11" count="1" selected="0">
            <x v="1"/>
          </reference>
        </references>
      </pivotArea>
    </chartFormat>
    <chartFormat chart="20" format="8">
      <pivotArea type="data" outline="0" fieldPosition="0">
        <references count="2">
          <reference field="4294967294" count="1" selected="0">
            <x v="0"/>
          </reference>
          <reference field="11" count="1" selected="0">
            <x v="2"/>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11" count="1" selected="0">
            <x v="0"/>
          </reference>
        </references>
      </pivotArea>
    </chartFormat>
    <chartFormat chart="22" format="15">
      <pivotArea type="data" outline="0" fieldPosition="0">
        <references count="2">
          <reference field="4294967294" count="1" selected="0">
            <x v="0"/>
          </reference>
          <reference field="11" count="1" selected="0">
            <x v="1"/>
          </reference>
        </references>
      </pivotArea>
    </chartFormat>
    <chartFormat chart="22" format="16">
      <pivotArea type="data" outline="0" fieldPosition="0">
        <references count="2">
          <reference field="4294967294" count="1" selected="0">
            <x v="0"/>
          </reference>
          <reference field="11" count="1" selected="0">
            <x v="2"/>
          </reference>
        </references>
      </pivotArea>
    </chartFormat>
  </chartFormats>
  <pivotTableStyleInfo name="PivotStyleMedium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54" firstHeaderRow="1" firstDataRow="1" firstDataCol="1"/>
  <pivotFields count="19">
    <pivotField showAll="0"/>
    <pivotField numFmtId="1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showAll="0"/>
    <pivotField numFmtId="22"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formats count="26">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5">
            <x v="1"/>
            <x v="11"/>
            <x v="32"/>
            <x v="36"/>
            <x v="37"/>
          </reference>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5">
            <x v="1"/>
            <x v="11"/>
            <x v="32"/>
            <x v="36"/>
            <x v="37"/>
          </reference>
        </references>
      </pivotArea>
    </format>
    <format dxfId="32">
      <pivotArea dataOnly="0" labelOnly="1" grandRow="1" outline="0" fieldPosition="0"/>
    </format>
    <format dxfId="31">
      <pivotArea dataOnly="0" labelOnly="1" outline="0" axis="axisValues" fieldPosition="0"/>
    </format>
    <format dxfId="30">
      <pivotArea field="3" type="button" dataOnly="0" labelOnly="1" outline="0" axis="axisRow" fieldPosition="0"/>
    </format>
    <format dxfId="29">
      <pivotArea dataOnly="0" labelOnly="1" outline="0" axis="axisValues" fieldPosition="0"/>
    </format>
    <format dxfId="28">
      <pivotArea field="3" type="button" dataOnly="0" labelOnly="1" outline="0" axis="axisRow" fieldPosition="0"/>
    </format>
    <format dxfId="27">
      <pivotArea dataOnly="0" labelOnly="1" outline="0" axis="axisValues" fieldPosition="0"/>
    </format>
    <format dxfId="26">
      <pivotArea collapsedLevelsAreSubtotals="1" fieldPosition="0">
        <references count="1">
          <reference field="3" count="48">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
      <pivotArea grandRow="1" outline="0" collapsedLevelsAreSubtotals="1" fieldPosition="0"/>
    </format>
    <format dxfId="24">
      <pivotArea dataOnly="0" labelOnly="1" fieldPosition="0">
        <references count="1">
          <reference field="3" count="48">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3">
      <pivotArea dataOnly="0" labelOnly="1" grandRow="1" outline="0" fieldPosition="0"/>
    </format>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axis="axisValues" fieldPosition="0"/>
    </format>
  </formats>
  <pivotTableStyleInfo name="PivotStyleMedium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50">
  <location ref="D3:E14" firstHeaderRow="1" firstDataRow="1" firstDataCol="1"/>
  <pivotFields count="22">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items count="4">
        <item x="0"/>
        <item x="1"/>
        <item x="2"/>
        <item t="default"/>
      </items>
    </pivotField>
    <pivotField numFmtId="14" showAll="0"/>
    <pivotField dataField="1" numFmtId="164"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pivotField showAll="0"/>
    <pivotField showAll="0"/>
    <pivotField showAll="0"/>
    <pivotField numFmtId="22" showAll="0">
      <items count="2">
        <item x="0"/>
        <item t="default"/>
      </items>
    </pivotField>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numFmtId="164"/>
  </dataFields>
  <formats count="16">
    <format dxfId="58">
      <pivotArea type="all" dataOnly="0" outline="0" fieldPosition="0"/>
    </format>
    <format dxfId="57">
      <pivotArea outline="0" collapsedLevelsAreSubtotals="1" fieldPosition="0"/>
    </format>
    <format dxfId="56">
      <pivotArea field="5" type="button" dataOnly="0" labelOnly="1" outline="0" axis="axisRow" fieldPosition="0"/>
    </format>
    <format dxfId="55">
      <pivotArea dataOnly="0" labelOnly="1" fieldPosition="0">
        <references count="1">
          <reference field="5"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5" type="button" dataOnly="0" labelOnly="1" outline="0" axis="axisRow" fieldPosition="0"/>
    </format>
    <format dxfId="49">
      <pivotArea dataOnly="0" labelOnly="1" fieldPosition="0">
        <references count="1">
          <reference field="5" count="0"/>
        </references>
      </pivotArea>
    </format>
    <format dxfId="48">
      <pivotArea dataOnly="0" labelOnly="1" grandRow="1" outline="0" fieldPosition="0"/>
    </format>
    <format dxfId="47">
      <pivotArea dataOnly="0" labelOnly="1" outline="0" axis="axisValues" fieldPosition="0"/>
    </format>
    <format dxfId="46">
      <pivotArea field="5" type="button" dataOnly="0" labelOnly="1" outline="0" axis="axisRow" fieldPosition="0"/>
    </format>
    <format dxfId="45">
      <pivotArea dataOnly="0" labelOnly="1" outline="0" axis="axisValues" fieldPosition="0"/>
    </format>
    <format dxfId="44">
      <pivotArea field="5" type="button" dataOnly="0" labelOnly="1" outline="0" axis="axisRow" fieldPosition="0"/>
    </format>
    <format dxfId="43">
      <pivotArea dataOnly="0" labelOnly="1" outline="0" axis="axisValues" fieldPosition="0"/>
    </format>
  </formats>
  <chartFormats count="4">
    <chartFormat chart="46"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8">
  <location ref="G3:H9"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numFmtId="164"/>
  </dataFields>
  <formats count="16">
    <format dxfId="74">
      <pivotArea type="all" dataOnly="0" outline="0" fieldPosition="0"/>
    </format>
    <format dxfId="73">
      <pivotArea outline="0" collapsedLevelsAreSubtotals="1" fieldPosition="0"/>
    </format>
    <format dxfId="72">
      <pivotArea field="10" type="button" dataOnly="0" labelOnly="1" outline="0" axis="axisRow" fieldPosition="0"/>
    </format>
    <format dxfId="71">
      <pivotArea dataOnly="0" labelOnly="1" fieldPosition="0">
        <references count="1">
          <reference field="10"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0" type="button" dataOnly="0" labelOnly="1" outline="0" axis="axisRow" fieldPosition="0"/>
    </format>
    <format dxfId="65">
      <pivotArea dataOnly="0" labelOnly="1" fieldPosition="0">
        <references count="1">
          <reference field="10" count="0"/>
        </references>
      </pivotArea>
    </format>
    <format dxfId="64">
      <pivotArea dataOnly="0" labelOnly="1" grandRow="1" outline="0" fieldPosition="0"/>
    </format>
    <format dxfId="63">
      <pivotArea dataOnly="0" labelOnly="1" outline="0" axis="axisValues" fieldPosition="0"/>
    </format>
    <format dxfId="62">
      <pivotArea field="10" type="button" dataOnly="0" labelOnly="1" outline="0" axis="axisRow" fieldPosition="0"/>
    </format>
    <format dxfId="61">
      <pivotArea dataOnly="0" labelOnly="1" outline="0" axis="axisValues" fieldPosition="0"/>
    </format>
    <format dxfId="60">
      <pivotArea field="10" type="button" dataOnly="0" labelOnly="1" outline="0" axis="axisRow" fieldPosition="0"/>
    </format>
    <format dxfId="59">
      <pivotArea dataOnly="0" labelOnly="1" outline="0" axis="axisValues" fieldPosition="0"/>
    </format>
  </formats>
  <chartFormats count="2">
    <chartFormat chart="10" format="3"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19:E33"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 numFmtId="22" showAll="0"/>
    <pivotField showAll="0"/>
    <pivotField showAll="0"/>
    <pivotField showAll="0"/>
  </pivotFields>
  <rowFields count="1">
    <field x="17"/>
  </rowFields>
  <rowItems count="14">
    <i>
      <x/>
    </i>
    <i>
      <x v="1"/>
    </i>
    <i>
      <x v="2"/>
    </i>
    <i>
      <x v="3"/>
    </i>
    <i>
      <x v="4"/>
    </i>
    <i>
      <x v="5"/>
    </i>
    <i>
      <x v="6"/>
    </i>
    <i>
      <x v="7"/>
    </i>
    <i>
      <x v="8"/>
    </i>
    <i>
      <x v="9"/>
    </i>
    <i>
      <x v="10"/>
    </i>
    <i>
      <x v="11"/>
    </i>
    <i>
      <x v="12"/>
    </i>
    <i t="grand">
      <x/>
    </i>
  </rowItems>
  <colItems count="1">
    <i/>
  </colItems>
  <dataFields count="1">
    <dataField name="Sum of Total_Amount" fld="13" baseField="0" baseItem="0" numFmtId="164"/>
  </dataFields>
  <formats count="18">
    <format dxfId="92">
      <pivotArea type="all" dataOnly="0" outline="0" fieldPosition="0"/>
    </format>
    <format dxfId="91">
      <pivotArea outline="0" collapsedLevelsAreSubtotals="1" fieldPosition="0"/>
    </format>
    <format dxfId="90">
      <pivotArea field="17" type="button" dataOnly="0" labelOnly="1" outline="0" axis="axisRow" fieldPosition="0"/>
    </format>
    <format dxfId="89">
      <pivotArea dataOnly="0" labelOnly="1" fieldPosition="0">
        <references count="1">
          <reference field="17"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7" type="button" dataOnly="0" labelOnly="1" outline="0" axis="axisRow" fieldPosition="0"/>
    </format>
    <format dxfId="83">
      <pivotArea dataOnly="0" labelOnly="1" fieldPosition="0">
        <references count="1">
          <reference field="17" count="0"/>
        </references>
      </pivotArea>
    </format>
    <format dxfId="82">
      <pivotArea dataOnly="0" labelOnly="1" grandRow="1" outline="0" fieldPosition="0"/>
    </format>
    <format dxfId="81">
      <pivotArea dataOnly="0" labelOnly="1" outline="0" axis="axisValues" fieldPosition="0"/>
    </format>
    <format dxfId="80">
      <pivotArea field="17" type="button" dataOnly="0" labelOnly="1" outline="0" axis="axisRow" fieldPosition="0"/>
    </format>
    <format dxfId="79">
      <pivotArea dataOnly="0" labelOnly="1" outline="0" axis="axisValues" fieldPosition="0"/>
    </format>
    <format dxfId="78">
      <pivotArea field="17" type="button" dataOnly="0" labelOnly="1" outline="0" axis="axisRow" fieldPosition="0"/>
    </format>
    <format dxfId="77">
      <pivotArea dataOnly="0" labelOnly="1" outline="0" axis="axisValues" fieldPosition="0"/>
    </format>
    <format dxfId="76">
      <pivotArea field="17" type="button" dataOnly="0" labelOnly="1" outline="0" axis="axisRow" fieldPosition="0"/>
    </format>
    <format dxfId="75">
      <pivotArea dataOnly="0" labelOnly="1" outline="0" axis="axisValues" fieldPosition="0"/>
    </format>
  </formats>
  <chartFormats count="2">
    <chartFormat chart="23" format="3"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305C086-ECA2-4057-BFA5-EC8A135192B8}" sourceName="Region">
  <pivotTables>
    <pivotTable tabId="3" name="PivotTable7"/>
  </pivotTables>
  <data>
    <tabular pivotCacheId="96580576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1FCE2CD3-0D0E-4436-9260-6FC9B8DDAF5F}" sourceName="Customer_Name">
  <pivotTables>
    <pivotTable tabId="3" name="PivotTable2"/>
  </pivotTables>
  <data>
    <tabular pivotCacheId="1255538107">
      <items count="50">
        <i x="48" s="1"/>
        <i x="17" s="1"/>
        <i x="32" s="1"/>
        <i x="41" s="1"/>
        <i x="6" s="1"/>
        <i x="19" s="1"/>
        <i x="29" s="1"/>
        <i x="35" s="1"/>
        <i x="11" s="1"/>
        <i x="5" s="1"/>
        <i x="46" s="1"/>
        <i x="23" s="1"/>
        <i x="39" s="1"/>
        <i x="25" s="1"/>
        <i x="37" s="1"/>
        <i x="13" s="1"/>
        <i x="38" s="1"/>
        <i x="28" s="1"/>
        <i x="22" s="1"/>
        <i x="47" s="1"/>
        <i x="27" s="1"/>
        <i x="49" s="1"/>
        <i x="1" s="1"/>
        <i x="33" s="1"/>
        <i x="8" s="1"/>
        <i x="3" s="1"/>
        <i x="2" s="1"/>
        <i x="40" s="1"/>
        <i x="21" s="1"/>
        <i x="24" s="1"/>
        <i x="36" s="1"/>
        <i x="15" s="1"/>
        <i x="14" s="1"/>
        <i x="4" s="1"/>
        <i x="12" s="1"/>
        <i x="20" s="1"/>
        <i x="18" s="1"/>
        <i x="0" s="1"/>
        <i x="10" s="1"/>
        <i x="34" s="1"/>
        <i x="45" s="1"/>
        <i x="7" s="1"/>
        <i x="43" s="1"/>
        <i x="42" s="1"/>
        <i x="31" s="1"/>
        <i x="30" s="1"/>
        <i x="26" s="1"/>
        <i x="9" s="1"/>
        <i x="16"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E005B0CC-0236-46F0-BDD1-604ABDD82BC9}" sourceName="Product_Name">
  <pivotTables>
    <pivotTable tabId="3" name="PivotTable5"/>
  </pivotTables>
  <data>
    <tabular pivotCacheId="965805760">
      <items count="10">
        <i x="1" s="1"/>
        <i x="2" s="1"/>
        <i x="7" s="1"/>
        <i x="6" s="1"/>
        <i x="3" s="1"/>
        <i x="8" s="1"/>
        <i x="4"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815E03-680E-4327-97DE-DDC05AB742D1}" cache="Slicer_Region1" caption="Region" style="SlicerStyleDark5" rowHeight="234950"/>
  <slicer name="Customer_Name" xr10:uid="{564AB4D6-7BEB-4B41-8279-4DCE5AAC8671}" cache="Slicer_Customer_Name" caption="Customer_Name" style="SlicerStyleDark5" rowHeight="234950"/>
  <slicer name="Product_Name 1" xr10:uid="{B405F24A-733E-4D70-AADA-585F534D718F}" cache="Slicer_Product_Name1" caption="Product_Nam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71" totalsRowShown="0" headerRowDxfId="120" dataDxfId="118" headerRowBorderDxfId="119" tableBorderDxfId="117" totalsRowBorderDxfId="116">
  <autoFilter ref="A1:W171" xr:uid="{00000000-0009-0000-0100-000001000000}"/>
  <tableColumns count="23">
    <tableColumn id="1" xr3:uid="{00000000-0010-0000-0000-000001000000}" name="Transaction_ID" dataDxfId="115"/>
    <tableColumn id="2" xr3:uid="{00000000-0010-0000-0000-000002000000}" name="Date" dataDxfId="114"/>
    <tableColumn id="3" xr3:uid="{00000000-0010-0000-0000-000003000000}" name="Customer_ID" dataDxfId="113"/>
    <tableColumn id="4" xr3:uid="{00000000-0010-0000-0000-000004000000}" name="Customer_Name" dataDxfId="112"/>
    <tableColumn id="5" xr3:uid="{00000000-0010-0000-0000-000005000000}" name="Product_ID" dataDxfId="111"/>
    <tableColumn id="6" xr3:uid="{00000000-0010-0000-0000-000006000000}" name="Product_Name" dataDxfId="110"/>
    <tableColumn id="7" xr3:uid="{00000000-0010-0000-0000-000007000000}" name="Category" dataDxfId="109"/>
    <tableColumn id="8" xr3:uid="{00000000-0010-0000-0000-000008000000}" name="Quantity" dataDxfId="108"/>
    <tableColumn id="9" xr3:uid="{00000000-0010-0000-0000-000009000000}" name="Unit_Price" dataDxfId="107"/>
    <tableColumn id="10" xr3:uid="{00000000-0010-0000-0000-00000A000000}" name="Payment_Method" dataDxfId="106"/>
    <tableColumn id="11" xr3:uid="{00000000-0010-0000-0000-00000B000000}" name="Region" dataDxfId="105"/>
    <tableColumn id="12" xr3:uid="{00000000-0010-0000-0000-00000C000000}" name="Customer_Segment" dataDxfId="104"/>
    <tableColumn id="13" xr3:uid="{00000000-0010-0000-0000-00000D000000}" name="Customer_Since" dataDxfId="103"/>
    <tableColumn id="14" xr3:uid="{00000000-0010-0000-0000-00000E000000}" name="Total_Amount" dataDxfId="102"/>
    <tableColumn id="15" xr3:uid="{00000000-0010-0000-0000-00000F000000}" name="Month Extract" dataDxfId="101">
      <calculatedColumnFormula>TEXT(B2,"mmm")</calculatedColumnFormula>
    </tableColumn>
    <tableColumn id="16" xr3:uid="{00000000-0010-0000-0000-000010000000}" name="Year" dataDxfId="100">
      <calculatedColumnFormula>YEAR(B2)</calculatedColumnFormula>
    </tableColumn>
    <tableColumn id="17" xr3:uid="{00000000-0010-0000-0000-000011000000}" name="Customer Age" dataDxfId="99">
      <calculatedColumnFormula>DATEDIF(M2,TODAY(),"D")</calculatedColumnFormula>
    </tableColumn>
    <tableColumn id="18" xr3:uid="{00000000-0010-0000-0000-000012000000}" name="Month End" dataDxfId="98">
      <calculatedColumnFormula>EOMONTH(B2,0)</calculatedColumnFormula>
    </tableColumn>
    <tableColumn id="19" xr3:uid="{00000000-0010-0000-0000-000013000000}" name="Timestamp" dataDxfId="97">
      <calculatedColumnFormula>NOW()</calculatedColumnFormula>
    </tableColumn>
    <tableColumn id="20" xr3:uid="{00000000-0010-0000-0000-000014000000}" name="Sale Amount" dataDxfId="96">
      <calculatedColumnFormula>IF(N2&gt;1000,"High Sale","Low Sale")</calculatedColumnFormula>
    </tableColumn>
    <tableColumn id="21" xr3:uid="{00000000-0010-0000-0000-000015000000}" name="Total Spend" dataDxfId="95">
      <calculatedColumnFormula>SUMIFS($N:$N, $D:$D, D2)</calculatedColumnFormula>
    </tableColumn>
    <tableColumn id="22" xr3:uid="{3AFC01B0-0585-45EB-A115-D39390D23C39}" name="Most Purchased product" dataDxfId="94">
      <calculatedColumnFormula array="1">INDEX(F2:F171,MODE(MATCH(F2:F171,F2:F171,0)))</calculatedColumnFormula>
    </tableColumn>
    <tableColumn id="23" xr3:uid="{1508EFF7-F18B-4264-A209-880A183DCF58}" name="Customer Frequency" dataDxfId="93">
      <calculatedColumnFormula>COUNTIF($D$2:$D$171,D2)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stamp" xr10:uid="{5260D0CF-6D2E-4418-ACB5-EC05D3DF3CC5}" sourceName="Timestamp">
  <pivotTables>
    <pivotTable tabId="3" name="PivotTable5"/>
  </pivotTables>
  <state minimalRefreshVersion="6" lastRefreshVersion="6" pivotCacheId="965805760" filterType="unknown">
    <bounds startDate="2026-01-01T22:34:02" endDate="2027-01-01T22:34:0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C4807716-D72B-4FCF-B6D9-BD2734C38126}" cache="NativeTimeline_Timestamp" caption="Timestamp" level="2" selectionLevel="2" scrollPosition="2026-01-13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1"/>
  <sheetViews>
    <sheetView zoomScale="75" workbookViewId="0">
      <selection activeCell="Q8" sqref="Q8"/>
    </sheetView>
  </sheetViews>
  <sheetFormatPr defaultRowHeight="13.8"/>
  <cols>
    <col min="2" max="2" width="13.296875" customWidth="1"/>
    <col min="8" max="9" width="9" bestFit="1" customWidth="1"/>
    <col min="13" max="13" width="12.3984375" bestFit="1" customWidth="1"/>
    <col min="14" max="14" width="9" bestFit="1" customWidth="1"/>
  </cols>
  <sheetData>
    <row r="1" spans="1:14" ht="43.8" customHeight="1" thickBot="1">
      <c r="A1" s="81" t="s">
        <v>0</v>
      </c>
      <c r="B1" s="81" t="s">
        <v>1</v>
      </c>
      <c r="C1" s="81" t="s">
        <v>2</v>
      </c>
      <c r="D1" s="81" t="s">
        <v>3</v>
      </c>
      <c r="E1" s="81" t="s">
        <v>4</v>
      </c>
      <c r="F1" s="81" t="s">
        <v>5</v>
      </c>
      <c r="G1" s="81" t="s">
        <v>6</v>
      </c>
      <c r="H1" s="81" t="s">
        <v>7</v>
      </c>
      <c r="I1" s="81" t="s">
        <v>8</v>
      </c>
      <c r="J1" s="81" t="s">
        <v>9</v>
      </c>
      <c r="K1" s="81" t="s">
        <v>10</v>
      </c>
      <c r="L1" s="81" t="s">
        <v>11</v>
      </c>
      <c r="M1" s="81" t="s">
        <v>12</v>
      </c>
      <c r="N1" s="81" t="s">
        <v>13</v>
      </c>
    </row>
    <row r="2" spans="1:14" ht="29.4" customHeight="1" thickBot="1">
      <c r="A2" s="82" t="s">
        <v>14</v>
      </c>
      <c r="B2" s="83">
        <v>45393</v>
      </c>
      <c r="C2" s="82" t="s">
        <v>15</v>
      </c>
      <c r="D2" s="82" t="s">
        <v>16</v>
      </c>
      <c r="E2" s="82" t="s">
        <v>17</v>
      </c>
      <c r="F2" s="82" t="s">
        <v>18</v>
      </c>
      <c r="G2" s="82" t="s">
        <v>19</v>
      </c>
      <c r="H2" s="84">
        <v>3</v>
      </c>
      <c r="I2" s="84">
        <v>249.99</v>
      </c>
      <c r="J2" s="82" t="s">
        <v>20</v>
      </c>
      <c r="K2" s="82" t="s">
        <v>21</v>
      </c>
      <c r="L2" s="82" t="s">
        <v>22</v>
      </c>
      <c r="M2" s="83">
        <v>44425</v>
      </c>
      <c r="N2" s="84">
        <v>749.97</v>
      </c>
    </row>
    <row r="3" spans="1:14" ht="29.4" customHeight="1" thickBot="1">
      <c r="A3" s="82" t="s">
        <v>23</v>
      </c>
      <c r="B3" s="83">
        <v>45396</v>
      </c>
      <c r="C3" s="82" t="s">
        <v>24</v>
      </c>
      <c r="D3" s="82" t="s">
        <v>25</v>
      </c>
      <c r="E3" s="82" t="s">
        <v>17</v>
      </c>
      <c r="F3" s="82" t="s">
        <v>18</v>
      </c>
      <c r="G3" s="82" t="s">
        <v>19</v>
      </c>
      <c r="H3" s="84">
        <v>3</v>
      </c>
      <c r="I3" s="84">
        <v>249.99</v>
      </c>
      <c r="J3" s="82" t="s">
        <v>26</v>
      </c>
      <c r="K3" s="82" t="s">
        <v>21</v>
      </c>
      <c r="L3" s="82" t="s">
        <v>27</v>
      </c>
      <c r="M3" s="83">
        <v>44575</v>
      </c>
      <c r="N3" s="84">
        <v>749.97</v>
      </c>
    </row>
    <row r="4" spans="1:14" ht="29.4" customHeight="1" thickBot="1">
      <c r="A4" s="82" t="s">
        <v>28</v>
      </c>
      <c r="B4" s="83">
        <v>45399</v>
      </c>
      <c r="C4" s="82" t="s">
        <v>29</v>
      </c>
      <c r="D4" s="82" t="s">
        <v>30</v>
      </c>
      <c r="E4" s="82" t="s">
        <v>31</v>
      </c>
      <c r="F4" s="82" t="s">
        <v>32</v>
      </c>
      <c r="G4" s="82" t="s">
        <v>33</v>
      </c>
      <c r="H4" s="84">
        <v>3</v>
      </c>
      <c r="I4" s="84">
        <v>59.99</v>
      </c>
      <c r="J4" s="82" t="s">
        <v>34</v>
      </c>
      <c r="K4" s="82" t="s">
        <v>35</v>
      </c>
      <c r="L4" s="82" t="s">
        <v>36</v>
      </c>
      <c r="M4" s="83">
        <v>45262</v>
      </c>
      <c r="N4" s="84">
        <v>179.97</v>
      </c>
    </row>
    <row r="5" spans="1:14" ht="29.4" customHeight="1" thickBot="1">
      <c r="A5" s="82" t="s">
        <v>37</v>
      </c>
      <c r="B5" s="83">
        <v>45400</v>
      </c>
      <c r="C5" s="82" t="s">
        <v>38</v>
      </c>
      <c r="D5" s="82" t="s">
        <v>39</v>
      </c>
      <c r="E5" s="82" t="s">
        <v>31</v>
      </c>
      <c r="F5" s="82" t="s">
        <v>32</v>
      </c>
      <c r="G5" s="82" t="s">
        <v>33</v>
      </c>
      <c r="H5" s="84">
        <v>3</v>
      </c>
      <c r="I5" s="84">
        <v>59.99</v>
      </c>
      <c r="J5" s="82" t="s">
        <v>20</v>
      </c>
      <c r="K5" s="82" t="s">
        <v>40</v>
      </c>
      <c r="L5" s="82" t="s">
        <v>27</v>
      </c>
      <c r="M5" s="83">
        <v>45114</v>
      </c>
      <c r="N5" s="84">
        <v>179.97</v>
      </c>
    </row>
    <row r="6" spans="1:14" ht="29.4" customHeight="1" thickBot="1">
      <c r="A6" s="82" t="s">
        <v>41</v>
      </c>
      <c r="B6" s="83">
        <v>45400</v>
      </c>
      <c r="C6" s="82" t="s">
        <v>42</v>
      </c>
      <c r="D6" s="82" t="s">
        <v>43</v>
      </c>
      <c r="E6" s="82" t="s">
        <v>44</v>
      </c>
      <c r="F6" s="82" t="s">
        <v>45</v>
      </c>
      <c r="G6" s="82" t="s">
        <v>46</v>
      </c>
      <c r="H6" s="84">
        <v>5</v>
      </c>
      <c r="I6" s="84">
        <v>149.99</v>
      </c>
      <c r="J6" s="82" t="s">
        <v>26</v>
      </c>
      <c r="K6" s="82" t="s">
        <v>40</v>
      </c>
      <c r="L6" s="82" t="s">
        <v>27</v>
      </c>
      <c r="M6" s="83">
        <v>45295</v>
      </c>
      <c r="N6" s="84">
        <v>749.95</v>
      </c>
    </row>
    <row r="7" spans="1:14" ht="29.4" customHeight="1" thickBot="1">
      <c r="A7" s="82" t="s">
        <v>47</v>
      </c>
      <c r="B7" s="83">
        <v>45403</v>
      </c>
      <c r="C7" s="82" t="s">
        <v>48</v>
      </c>
      <c r="D7" s="82" t="s">
        <v>49</v>
      </c>
      <c r="E7" s="82" t="s">
        <v>31</v>
      </c>
      <c r="F7" s="82" t="s">
        <v>32</v>
      </c>
      <c r="G7" s="82" t="s">
        <v>33</v>
      </c>
      <c r="H7" s="84">
        <v>2</v>
      </c>
      <c r="I7" s="84">
        <v>59.99</v>
      </c>
      <c r="J7" s="82" t="s">
        <v>20</v>
      </c>
      <c r="K7" s="82" t="s">
        <v>50</v>
      </c>
      <c r="L7" s="82" t="s">
        <v>36</v>
      </c>
      <c r="M7" s="83">
        <v>44746</v>
      </c>
      <c r="N7" s="84">
        <v>119.98</v>
      </c>
    </row>
    <row r="8" spans="1:14" ht="29.4" customHeight="1" thickBot="1">
      <c r="A8" s="82" t="s">
        <v>51</v>
      </c>
      <c r="B8" s="83">
        <v>45403</v>
      </c>
      <c r="C8" s="82" t="s">
        <v>48</v>
      </c>
      <c r="D8" s="82" t="s">
        <v>49</v>
      </c>
      <c r="E8" s="82" t="s">
        <v>52</v>
      </c>
      <c r="F8" s="82" t="s">
        <v>53</v>
      </c>
      <c r="G8" s="82" t="s">
        <v>19</v>
      </c>
      <c r="H8" s="84">
        <v>5</v>
      </c>
      <c r="I8" s="84">
        <v>149.99</v>
      </c>
      <c r="J8" s="82" t="s">
        <v>26</v>
      </c>
      <c r="K8" s="82" t="s">
        <v>21</v>
      </c>
      <c r="L8" s="82" t="s">
        <v>36</v>
      </c>
      <c r="M8" s="83">
        <v>44418</v>
      </c>
      <c r="N8" s="84">
        <v>749.95</v>
      </c>
    </row>
    <row r="9" spans="1:14" ht="29.4" customHeight="1" thickBot="1">
      <c r="A9" s="82" t="s">
        <v>54</v>
      </c>
      <c r="B9" s="83">
        <v>45403</v>
      </c>
      <c r="C9" s="82" t="s">
        <v>55</v>
      </c>
      <c r="D9" s="82" t="s">
        <v>56</v>
      </c>
      <c r="E9" s="82" t="s">
        <v>31</v>
      </c>
      <c r="F9" s="82" t="s">
        <v>32</v>
      </c>
      <c r="G9" s="82" t="s">
        <v>33</v>
      </c>
      <c r="H9" s="84">
        <v>3</v>
      </c>
      <c r="I9" s="84">
        <v>59.99</v>
      </c>
      <c r="J9" s="82" t="s">
        <v>57</v>
      </c>
      <c r="K9" s="82" t="s">
        <v>35</v>
      </c>
      <c r="L9" s="82" t="s">
        <v>22</v>
      </c>
      <c r="M9" s="83">
        <v>45007</v>
      </c>
      <c r="N9" s="84">
        <v>179.97</v>
      </c>
    </row>
    <row r="10" spans="1:14" ht="29.4" customHeight="1" thickBot="1">
      <c r="A10" s="82" t="s">
        <v>58</v>
      </c>
      <c r="B10" s="83">
        <v>45405</v>
      </c>
      <c r="C10" s="82" t="s">
        <v>59</v>
      </c>
      <c r="D10" s="82" t="s">
        <v>60</v>
      </c>
      <c r="E10" s="82" t="s">
        <v>61</v>
      </c>
      <c r="F10" s="82" t="s">
        <v>62</v>
      </c>
      <c r="G10" s="82" t="s">
        <v>19</v>
      </c>
      <c r="H10" s="84">
        <v>3</v>
      </c>
      <c r="I10" s="84">
        <v>899.99</v>
      </c>
      <c r="J10" s="82" t="s">
        <v>34</v>
      </c>
      <c r="K10" s="82" t="s">
        <v>63</v>
      </c>
      <c r="L10" s="82" t="s">
        <v>36</v>
      </c>
      <c r="M10" s="83">
        <v>45299</v>
      </c>
      <c r="N10" s="84">
        <v>2699.97</v>
      </c>
    </row>
    <row r="11" spans="1:14" ht="29.4" customHeight="1" thickBot="1">
      <c r="A11" s="82" t="s">
        <v>64</v>
      </c>
      <c r="B11" s="83">
        <v>45408</v>
      </c>
      <c r="C11" s="82" t="s">
        <v>65</v>
      </c>
      <c r="D11" s="82" t="s">
        <v>66</v>
      </c>
      <c r="E11" s="82" t="s">
        <v>31</v>
      </c>
      <c r="F11" s="82" t="s">
        <v>32</v>
      </c>
      <c r="G11" s="82" t="s">
        <v>33</v>
      </c>
      <c r="H11" s="84">
        <v>3</v>
      </c>
      <c r="I11" s="84">
        <v>59.99</v>
      </c>
      <c r="J11" s="82" t="s">
        <v>20</v>
      </c>
      <c r="K11" s="82" t="s">
        <v>50</v>
      </c>
      <c r="L11" s="82" t="s">
        <v>27</v>
      </c>
      <c r="M11" s="83">
        <v>45207</v>
      </c>
      <c r="N11" s="84">
        <v>179.97</v>
      </c>
    </row>
    <row r="12" spans="1:14" ht="29.4" customHeight="1" thickBot="1">
      <c r="A12" s="82" t="s">
        <v>67</v>
      </c>
      <c r="B12" s="83">
        <v>45408</v>
      </c>
      <c r="C12" s="82" t="s">
        <v>68</v>
      </c>
      <c r="D12" s="82" t="s">
        <v>69</v>
      </c>
      <c r="E12" s="82" t="s">
        <v>44</v>
      </c>
      <c r="F12" s="82" t="s">
        <v>45</v>
      </c>
      <c r="G12" s="82" t="s">
        <v>46</v>
      </c>
      <c r="H12" s="84">
        <v>1</v>
      </c>
      <c r="I12" s="84">
        <v>149.99</v>
      </c>
      <c r="J12" s="82" t="s">
        <v>26</v>
      </c>
      <c r="K12" s="82" t="s">
        <v>50</v>
      </c>
      <c r="L12" s="82" t="s">
        <v>36</v>
      </c>
      <c r="M12" s="83">
        <v>45103</v>
      </c>
      <c r="N12" s="84">
        <v>149.99</v>
      </c>
    </row>
    <row r="13" spans="1:14" ht="29.4" customHeight="1" thickBot="1">
      <c r="A13" s="82" t="s">
        <v>70</v>
      </c>
      <c r="B13" s="83">
        <v>45408</v>
      </c>
      <c r="C13" s="82" t="s">
        <v>38</v>
      </c>
      <c r="D13" s="82" t="s">
        <v>39</v>
      </c>
      <c r="E13" s="82" t="s">
        <v>44</v>
      </c>
      <c r="F13" s="82" t="s">
        <v>45</v>
      </c>
      <c r="G13" s="82" t="s">
        <v>46</v>
      </c>
      <c r="H13" s="84">
        <v>5</v>
      </c>
      <c r="I13" s="84">
        <v>149.99</v>
      </c>
      <c r="J13" s="82" t="s">
        <v>57</v>
      </c>
      <c r="K13" s="82" t="s">
        <v>40</v>
      </c>
      <c r="L13" s="82" t="s">
        <v>22</v>
      </c>
      <c r="M13" s="83">
        <v>44830</v>
      </c>
      <c r="N13" s="84">
        <v>749.95</v>
      </c>
    </row>
    <row r="14" spans="1:14" ht="43.8" customHeight="1" thickBot="1">
      <c r="A14" s="82" t="s">
        <v>71</v>
      </c>
      <c r="B14" s="83">
        <v>45408</v>
      </c>
      <c r="C14" s="82" t="s">
        <v>72</v>
      </c>
      <c r="D14" s="82" t="s">
        <v>73</v>
      </c>
      <c r="E14" s="82" t="s">
        <v>44</v>
      </c>
      <c r="F14" s="82" t="s">
        <v>45</v>
      </c>
      <c r="G14" s="82" t="s">
        <v>46</v>
      </c>
      <c r="H14" s="84">
        <v>3</v>
      </c>
      <c r="I14" s="84">
        <v>149.99</v>
      </c>
      <c r="J14" s="82" t="s">
        <v>20</v>
      </c>
      <c r="K14" s="82" t="s">
        <v>40</v>
      </c>
      <c r="L14" s="82" t="s">
        <v>27</v>
      </c>
      <c r="M14" s="83">
        <v>44806</v>
      </c>
      <c r="N14" s="84">
        <v>449.97</v>
      </c>
    </row>
    <row r="15" spans="1:14" ht="29.4" customHeight="1" thickBot="1">
      <c r="A15" s="82" t="s">
        <v>74</v>
      </c>
      <c r="B15" s="83">
        <v>45409</v>
      </c>
      <c r="C15" s="82" t="s">
        <v>75</v>
      </c>
      <c r="D15" s="82" t="s">
        <v>76</v>
      </c>
      <c r="E15" s="82" t="s">
        <v>31</v>
      </c>
      <c r="F15" s="82" t="s">
        <v>32</v>
      </c>
      <c r="G15" s="82" t="s">
        <v>33</v>
      </c>
      <c r="H15" s="84">
        <v>3</v>
      </c>
      <c r="I15" s="84">
        <v>59.99</v>
      </c>
      <c r="J15" s="82" t="s">
        <v>26</v>
      </c>
      <c r="K15" s="82" t="s">
        <v>40</v>
      </c>
      <c r="L15" s="82" t="s">
        <v>36</v>
      </c>
      <c r="M15" s="83">
        <v>45351</v>
      </c>
      <c r="N15" s="84">
        <v>179.97</v>
      </c>
    </row>
    <row r="16" spans="1:14" ht="29.4" customHeight="1" thickBot="1">
      <c r="A16" s="82" t="s">
        <v>77</v>
      </c>
      <c r="B16" s="83">
        <v>45409</v>
      </c>
      <c r="C16" s="82" t="s">
        <v>78</v>
      </c>
      <c r="D16" s="82" t="s">
        <v>79</v>
      </c>
      <c r="E16" s="82" t="s">
        <v>80</v>
      </c>
      <c r="F16" s="82" t="s">
        <v>81</v>
      </c>
      <c r="G16" s="82" t="s">
        <v>19</v>
      </c>
      <c r="H16" s="84">
        <v>3</v>
      </c>
      <c r="I16" s="84">
        <v>699.99</v>
      </c>
      <c r="J16" s="82" t="s">
        <v>26</v>
      </c>
      <c r="K16" s="82" t="s">
        <v>50</v>
      </c>
      <c r="L16" s="82" t="s">
        <v>22</v>
      </c>
      <c r="M16" s="83">
        <v>44577</v>
      </c>
      <c r="N16" s="84">
        <v>2099.9699999999998</v>
      </c>
    </row>
    <row r="17" spans="1:14" ht="29.4" customHeight="1" thickBot="1">
      <c r="A17" s="82" t="s">
        <v>82</v>
      </c>
      <c r="B17" s="83">
        <v>45409</v>
      </c>
      <c r="C17" s="82" t="s">
        <v>83</v>
      </c>
      <c r="D17" s="82" t="s">
        <v>84</v>
      </c>
      <c r="E17" s="82" t="s">
        <v>61</v>
      </c>
      <c r="F17" s="82" t="s">
        <v>62</v>
      </c>
      <c r="G17" s="82" t="s">
        <v>19</v>
      </c>
      <c r="H17" s="84">
        <v>1</v>
      </c>
      <c r="I17" s="84">
        <v>899.99</v>
      </c>
      <c r="J17" s="82" t="s">
        <v>57</v>
      </c>
      <c r="K17" s="82" t="s">
        <v>40</v>
      </c>
      <c r="L17" s="82" t="s">
        <v>36</v>
      </c>
      <c r="M17" s="83">
        <v>44920</v>
      </c>
      <c r="N17" s="84">
        <v>899.99</v>
      </c>
    </row>
    <row r="18" spans="1:14" ht="29.4" customHeight="1" thickBot="1">
      <c r="A18" s="82" t="s">
        <v>85</v>
      </c>
      <c r="B18" s="83">
        <v>45410</v>
      </c>
      <c r="C18" s="82" t="s">
        <v>86</v>
      </c>
      <c r="D18" s="82" t="s">
        <v>87</v>
      </c>
      <c r="E18" s="82" t="s">
        <v>44</v>
      </c>
      <c r="F18" s="82" t="s">
        <v>45</v>
      </c>
      <c r="G18" s="82" t="s">
        <v>46</v>
      </c>
      <c r="H18" s="84">
        <v>4</v>
      </c>
      <c r="I18" s="84">
        <v>149.99</v>
      </c>
      <c r="J18" s="82" t="s">
        <v>57</v>
      </c>
      <c r="K18" s="82" t="s">
        <v>40</v>
      </c>
      <c r="L18" s="82" t="s">
        <v>27</v>
      </c>
      <c r="M18" s="83">
        <v>45374</v>
      </c>
      <c r="N18" s="84">
        <v>599.96</v>
      </c>
    </row>
    <row r="19" spans="1:14" ht="29.4" customHeight="1" thickBot="1">
      <c r="A19" s="82" t="s">
        <v>88</v>
      </c>
      <c r="B19" s="83">
        <v>45410</v>
      </c>
      <c r="C19" s="82" t="s">
        <v>89</v>
      </c>
      <c r="D19" s="82" t="s">
        <v>90</v>
      </c>
      <c r="E19" s="82" t="s">
        <v>80</v>
      </c>
      <c r="F19" s="82" t="s">
        <v>81</v>
      </c>
      <c r="G19" s="82" t="s">
        <v>19</v>
      </c>
      <c r="H19" s="84">
        <v>2</v>
      </c>
      <c r="I19" s="84">
        <v>699.99</v>
      </c>
      <c r="J19" s="82" t="s">
        <v>20</v>
      </c>
      <c r="K19" s="82" t="s">
        <v>40</v>
      </c>
      <c r="L19" s="82" t="s">
        <v>22</v>
      </c>
      <c r="M19" s="83">
        <v>44781</v>
      </c>
      <c r="N19" s="84">
        <v>1399.98</v>
      </c>
    </row>
    <row r="20" spans="1:14" ht="29.4" customHeight="1" thickBot="1">
      <c r="A20" s="82" t="s">
        <v>91</v>
      </c>
      <c r="B20" s="83">
        <v>45410</v>
      </c>
      <c r="C20" s="82" t="s">
        <v>86</v>
      </c>
      <c r="D20" s="82" t="s">
        <v>87</v>
      </c>
      <c r="E20" s="82" t="s">
        <v>61</v>
      </c>
      <c r="F20" s="82" t="s">
        <v>62</v>
      </c>
      <c r="G20" s="82" t="s">
        <v>19</v>
      </c>
      <c r="H20" s="84">
        <v>4</v>
      </c>
      <c r="I20" s="84">
        <v>899.99</v>
      </c>
      <c r="J20" s="82" t="s">
        <v>26</v>
      </c>
      <c r="K20" s="82" t="s">
        <v>50</v>
      </c>
      <c r="L20" s="82" t="s">
        <v>36</v>
      </c>
      <c r="M20" s="83">
        <v>45327</v>
      </c>
      <c r="N20" s="84">
        <v>3599.96</v>
      </c>
    </row>
    <row r="21" spans="1:14" ht="29.4" customHeight="1" thickBot="1">
      <c r="A21" s="82" t="s">
        <v>92</v>
      </c>
      <c r="B21" s="83">
        <v>45410</v>
      </c>
      <c r="C21" s="82" t="s">
        <v>93</v>
      </c>
      <c r="D21" s="82" t="s">
        <v>94</v>
      </c>
      <c r="E21" s="82" t="s">
        <v>17</v>
      </c>
      <c r="F21" s="82" t="s">
        <v>18</v>
      </c>
      <c r="G21" s="82" t="s">
        <v>19</v>
      </c>
      <c r="H21" s="84">
        <v>3</v>
      </c>
      <c r="I21" s="84">
        <v>249.99</v>
      </c>
      <c r="J21" s="82" t="s">
        <v>26</v>
      </c>
      <c r="K21" s="82" t="s">
        <v>40</v>
      </c>
      <c r="L21" s="82" t="s">
        <v>27</v>
      </c>
      <c r="M21" s="83">
        <v>45224</v>
      </c>
      <c r="N21" s="84">
        <v>749.97</v>
      </c>
    </row>
    <row r="22" spans="1:14" ht="29.4" customHeight="1" thickBot="1">
      <c r="A22" s="82" t="s">
        <v>95</v>
      </c>
      <c r="B22" s="83">
        <v>45412</v>
      </c>
      <c r="C22" s="82" t="s">
        <v>96</v>
      </c>
      <c r="D22" s="82" t="s">
        <v>97</v>
      </c>
      <c r="E22" s="82" t="s">
        <v>80</v>
      </c>
      <c r="F22" s="82" t="s">
        <v>81</v>
      </c>
      <c r="G22" s="82" t="s">
        <v>19</v>
      </c>
      <c r="H22" s="84">
        <v>5</v>
      </c>
      <c r="I22" s="84">
        <v>699.99</v>
      </c>
      <c r="J22" s="82" t="s">
        <v>20</v>
      </c>
      <c r="K22" s="82" t="s">
        <v>50</v>
      </c>
      <c r="L22" s="82" t="s">
        <v>22</v>
      </c>
      <c r="M22" s="83">
        <v>45167</v>
      </c>
      <c r="N22" s="84">
        <v>3499.95</v>
      </c>
    </row>
    <row r="23" spans="1:14" ht="29.4" customHeight="1" thickBot="1">
      <c r="A23" s="82" t="s">
        <v>98</v>
      </c>
      <c r="B23" s="83">
        <v>45413</v>
      </c>
      <c r="C23" s="82" t="s">
        <v>99</v>
      </c>
      <c r="D23" s="82" t="s">
        <v>100</v>
      </c>
      <c r="E23" s="82" t="s">
        <v>80</v>
      </c>
      <c r="F23" s="82" t="s">
        <v>81</v>
      </c>
      <c r="G23" s="82" t="s">
        <v>19</v>
      </c>
      <c r="H23" s="84">
        <v>4</v>
      </c>
      <c r="I23" s="84">
        <v>699.99</v>
      </c>
      <c r="J23" s="82" t="s">
        <v>20</v>
      </c>
      <c r="K23" s="82" t="s">
        <v>63</v>
      </c>
      <c r="L23" s="82" t="s">
        <v>36</v>
      </c>
      <c r="M23" s="83">
        <v>44409</v>
      </c>
      <c r="N23" s="84">
        <v>2799.96</v>
      </c>
    </row>
    <row r="24" spans="1:14" ht="29.4" customHeight="1" thickBot="1">
      <c r="A24" s="82" t="s">
        <v>101</v>
      </c>
      <c r="B24" s="83">
        <v>45415</v>
      </c>
      <c r="C24" s="82" t="s">
        <v>102</v>
      </c>
      <c r="D24" s="82" t="s">
        <v>103</v>
      </c>
      <c r="E24" s="82" t="s">
        <v>17</v>
      </c>
      <c r="F24" s="82" t="s">
        <v>18</v>
      </c>
      <c r="G24" s="82" t="s">
        <v>19</v>
      </c>
      <c r="H24" s="84">
        <v>4</v>
      </c>
      <c r="I24" s="84">
        <v>249.99</v>
      </c>
      <c r="J24" s="82" t="s">
        <v>34</v>
      </c>
      <c r="K24" s="82" t="s">
        <v>40</v>
      </c>
      <c r="L24" s="82" t="s">
        <v>36</v>
      </c>
      <c r="M24" s="83">
        <v>44468</v>
      </c>
      <c r="N24" s="84">
        <v>999.96</v>
      </c>
    </row>
    <row r="25" spans="1:14" ht="29.4" customHeight="1" thickBot="1">
      <c r="A25" s="82" t="s">
        <v>104</v>
      </c>
      <c r="B25" s="83">
        <v>45416</v>
      </c>
      <c r="C25" s="82" t="s">
        <v>86</v>
      </c>
      <c r="D25" s="82" t="s">
        <v>87</v>
      </c>
      <c r="E25" s="82" t="s">
        <v>105</v>
      </c>
      <c r="F25" s="82" t="s">
        <v>106</v>
      </c>
      <c r="G25" s="82" t="s">
        <v>46</v>
      </c>
      <c r="H25" s="84">
        <v>4</v>
      </c>
      <c r="I25" s="84">
        <v>299.99</v>
      </c>
      <c r="J25" s="82" t="s">
        <v>20</v>
      </c>
      <c r="K25" s="82" t="s">
        <v>50</v>
      </c>
      <c r="L25" s="82" t="s">
        <v>27</v>
      </c>
      <c r="M25" s="83">
        <v>44716</v>
      </c>
      <c r="N25" s="84">
        <v>1199.96</v>
      </c>
    </row>
    <row r="26" spans="1:14" ht="29.4" customHeight="1" thickBot="1">
      <c r="A26" s="82" t="s">
        <v>107</v>
      </c>
      <c r="B26" s="83">
        <v>45422</v>
      </c>
      <c r="C26" s="82" t="s">
        <v>108</v>
      </c>
      <c r="D26" s="82" t="s">
        <v>109</v>
      </c>
      <c r="E26" s="82" t="s">
        <v>17</v>
      </c>
      <c r="F26" s="82" t="s">
        <v>18</v>
      </c>
      <c r="G26" s="82" t="s">
        <v>19</v>
      </c>
      <c r="H26" s="84">
        <v>5</v>
      </c>
      <c r="I26" s="84">
        <v>249.99</v>
      </c>
      <c r="J26" s="82" t="s">
        <v>26</v>
      </c>
      <c r="K26" s="82" t="s">
        <v>50</v>
      </c>
      <c r="L26" s="82" t="s">
        <v>36</v>
      </c>
      <c r="M26" s="83">
        <v>44525</v>
      </c>
      <c r="N26" s="84">
        <v>1249.95</v>
      </c>
    </row>
    <row r="27" spans="1:14" ht="29.4" customHeight="1" thickBot="1">
      <c r="A27" s="82" t="s">
        <v>110</v>
      </c>
      <c r="B27" s="83">
        <v>45424</v>
      </c>
      <c r="C27" s="82" t="s">
        <v>68</v>
      </c>
      <c r="D27" s="82" t="s">
        <v>69</v>
      </c>
      <c r="E27" s="82" t="s">
        <v>105</v>
      </c>
      <c r="F27" s="82" t="s">
        <v>106</v>
      </c>
      <c r="G27" s="82" t="s">
        <v>46</v>
      </c>
      <c r="H27" s="84">
        <v>5</v>
      </c>
      <c r="I27" s="84">
        <v>299.99</v>
      </c>
      <c r="J27" s="82" t="s">
        <v>34</v>
      </c>
      <c r="K27" s="82" t="s">
        <v>63</v>
      </c>
      <c r="L27" s="82" t="s">
        <v>22</v>
      </c>
      <c r="M27" s="83">
        <v>45168</v>
      </c>
      <c r="N27" s="84">
        <v>1499.95</v>
      </c>
    </row>
    <row r="28" spans="1:14" ht="29.4" customHeight="1" thickBot="1">
      <c r="A28" s="82" t="s">
        <v>111</v>
      </c>
      <c r="B28" s="83">
        <v>45424</v>
      </c>
      <c r="C28" s="82" t="s">
        <v>112</v>
      </c>
      <c r="D28" s="82" t="s">
        <v>113</v>
      </c>
      <c r="E28" s="82" t="s">
        <v>114</v>
      </c>
      <c r="F28" s="82" t="s">
        <v>115</v>
      </c>
      <c r="G28" s="82" t="s">
        <v>33</v>
      </c>
      <c r="H28" s="84">
        <v>3</v>
      </c>
      <c r="I28" s="84">
        <v>79.989999999999995</v>
      </c>
      <c r="J28" s="82" t="s">
        <v>34</v>
      </c>
      <c r="K28" s="82" t="s">
        <v>63</v>
      </c>
      <c r="L28" s="82" t="s">
        <v>27</v>
      </c>
      <c r="M28" s="83">
        <v>45012</v>
      </c>
      <c r="N28" s="84">
        <v>239.97</v>
      </c>
    </row>
    <row r="29" spans="1:14" ht="29.4" customHeight="1" thickBot="1">
      <c r="A29" s="82" t="s">
        <v>116</v>
      </c>
      <c r="B29" s="83">
        <v>45424</v>
      </c>
      <c r="C29" s="82" t="s">
        <v>99</v>
      </c>
      <c r="D29" s="82" t="s">
        <v>100</v>
      </c>
      <c r="E29" s="82" t="s">
        <v>117</v>
      </c>
      <c r="F29" s="82" t="s">
        <v>118</v>
      </c>
      <c r="G29" s="82" t="s">
        <v>19</v>
      </c>
      <c r="H29" s="84">
        <v>5</v>
      </c>
      <c r="I29" s="84">
        <v>89.99</v>
      </c>
      <c r="J29" s="82" t="s">
        <v>20</v>
      </c>
      <c r="K29" s="82" t="s">
        <v>40</v>
      </c>
      <c r="L29" s="82" t="s">
        <v>27</v>
      </c>
      <c r="M29" s="83">
        <v>44919</v>
      </c>
      <c r="N29" s="84">
        <v>449.95</v>
      </c>
    </row>
    <row r="30" spans="1:14" ht="29.4" customHeight="1" thickBot="1">
      <c r="A30" s="82" t="s">
        <v>119</v>
      </c>
      <c r="B30" s="83">
        <v>45425</v>
      </c>
      <c r="C30" s="82" t="s">
        <v>120</v>
      </c>
      <c r="D30" s="82" t="s">
        <v>121</v>
      </c>
      <c r="E30" s="82" t="s">
        <v>31</v>
      </c>
      <c r="F30" s="82" t="s">
        <v>32</v>
      </c>
      <c r="G30" s="82" t="s">
        <v>33</v>
      </c>
      <c r="H30" s="84">
        <v>2</v>
      </c>
      <c r="I30" s="84">
        <v>59.99</v>
      </c>
      <c r="J30" s="82" t="s">
        <v>57</v>
      </c>
      <c r="K30" s="82" t="s">
        <v>21</v>
      </c>
      <c r="L30" s="82" t="s">
        <v>36</v>
      </c>
      <c r="M30" s="83">
        <v>45214</v>
      </c>
      <c r="N30" s="84">
        <v>119.98</v>
      </c>
    </row>
    <row r="31" spans="1:14" ht="29.4" customHeight="1" thickBot="1">
      <c r="A31" s="82" t="s">
        <v>122</v>
      </c>
      <c r="B31" s="83">
        <v>45427</v>
      </c>
      <c r="C31" s="82" t="s">
        <v>123</v>
      </c>
      <c r="D31" s="82" t="s">
        <v>124</v>
      </c>
      <c r="E31" s="82" t="s">
        <v>31</v>
      </c>
      <c r="F31" s="82" t="s">
        <v>32</v>
      </c>
      <c r="G31" s="82" t="s">
        <v>33</v>
      </c>
      <c r="H31" s="84">
        <v>4</v>
      </c>
      <c r="I31" s="84">
        <v>59.99</v>
      </c>
      <c r="J31" s="82" t="s">
        <v>57</v>
      </c>
      <c r="K31" s="82" t="s">
        <v>63</v>
      </c>
      <c r="L31" s="82" t="s">
        <v>36</v>
      </c>
      <c r="M31" s="83">
        <v>44867</v>
      </c>
      <c r="N31" s="84">
        <v>239.96</v>
      </c>
    </row>
    <row r="32" spans="1:14" ht="29.4" customHeight="1" thickBot="1">
      <c r="A32" s="82" t="s">
        <v>125</v>
      </c>
      <c r="B32" s="83">
        <v>45427</v>
      </c>
      <c r="C32" s="82" t="s">
        <v>55</v>
      </c>
      <c r="D32" s="82" t="s">
        <v>56</v>
      </c>
      <c r="E32" s="82" t="s">
        <v>126</v>
      </c>
      <c r="F32" s="82" t="s">
        <v>127</v>
      </c>
      <c r="G32" s="82" t="s">
        <v>46</v>
      </c>
      <c r="H32" s="84">
        <v>5</v>
      </c>
      <c r="I32" s="84">
        <v>199.99</v>
      </c>
      <c r="J32" s="82" t="s">
        <v>20</v>
      </c>
      <c r="K32" s="82" t="s">
        <v>35</v>
      </c>
      <c r="L32" s="82" t="s">
        <v>36</v>
      </c>
      <c r="M32" s="83">
        <v>44412</v>
      </c>
      <c r="N32" s="84">
        <v>999.95</v>
      </c>
    </row>
    <row r="33" spans="1:14" ht="29.4" customHeight="1" thickBot="1">
      <c r="A33" s="82" t="s">
        <v>128</v>
      </c>
      <c r="B33" s="83">
        <v>45428</v>
      </c>
      <c r="C33" s="82" t="s">
        <v>129</v>
      </c>
      <c r="D33" s="82" t="s">
        <v>130</v>
      </c>
      <c r="E33" s="82" t="s">
        <v>44</v>
      </c>
      <c r="F33" s="82" t="s">
        <v>45</v>
      </c>
      <c r="G33" s="82" t="s">
        <v>46</v>
      </c>
      <c r="H33" s="84">
        <v>2</v>
      </c>
      <c r="I33" s="84">
        <v>149.99</v>
      </c>
      <c r="J33" s="82" t="s">
        <v>26</v>
      </c>
      <c r="K33" s="82" t="s">
        <v>50</v>
      </c>
      <c r="L33" s="82" t="s">
        <v>22</v>
      </c>
      <c r="M33" s="83">
        <v>44823</v>
      </c>
      <c r="N33" s="84">
        <v>299.98</v>
      </c>
    </row>
    <row r="34" spans="1:14" ht="29.4" customHeight="1" thickBot="1">
      <c r="A34" s="82" t="s">
        <v>131</v>
      </c>
      <c r="B34" s="83">
        <v>45430</v>
      </c>
      <c r="C34" s="82" t="s">
        <v>132</v>
      </c>
      <c r="D34" s="82" t="s">
        <v>133</v>
      </c>
      <c r="E34" s="82" t="s">
        <v>44</v>
      </c>
      <c r="F34" s="82" t="s">
        <v>45</v>
      </c>
      <c r="G34" s="82" t="s">
        <v>46</v>
      </c>
      <c r="H34" s="84">
        <v>3</v>
      </c>
      <c r="I34" s="84">
        <v>149.99</v>
      </c>
      <c r="J34" s="82" t="s">
        <v>26</v>
      </c>
      <c r="K34" s="82" t="s">
        <v>50</v>
      </c>
      <c r="L34" s="82" t="s">
        <v>27</v>
      </c>
      <c r="M34" s="83">
        <v>45068</v>
      </c>
      <c r="N34" s="84">
        <v>449.97</v>
      </c>
    </row>
    <row r="35" spans="1:14" ht="29.4" customHeight="1" thickBot="1">
      <c r="A35" s="82" t="s">
        <v>134</v>
      </c>
      <c r="B35" s="83">
        <v>45432</v>
      </c>
      <c r="C35" s="82" t="s">
        <v>29</v>
      </c>
      <c r="D35" s="82" t="s">
        <v>30</v>
      </c>
      <c r="E35" s="82" t="s">
        <v>61</v>
      </c>
      <c r="F35" s="82" t="s">
        <v>62</v>
      </c>
      <c r="G35" s="82" t="s">
        <v>19</v>
      </c>
      <c r="H35" s="84">
        <v>1</v>
      </c>
      <c r="I35" s="84">
        <v>899.99</v>
      </c>
      <c r="J35" s="82" t="s">
        <v>26</v>
      </c>
      <c r="K35" s="82" t="s">
        <v>50</v>
      </c>
      <c r="L35" s="82" t="s">
        <v>27</v>
      </c>
      <c r="M35" s="83">
        <v>44578</v>
      </c>
      <c r="N35" s="84">
        <v>899.99</v>
      </c>
    </row>
    <row r="36" spans="1:14" ht="29.4" customHeight="1" thickBot="1">
      <c r="A36" s="82" t="s">
        <v>135</v>
      </c>
      <c r="B36" s="83">
        <v>45434</v>
      </c>
      <c r="C36" s="82" t="s">
        <v>99</v>
      </c>
      <c r="D36" s="82" t="s">
        <v>100</v>
      </c>
      <c r="E36" s="82" t="s">
        <v>105</v>
      </c>
      <c r="F36" s="82" t="s">
        <v>106</v>
      </c>
      <c r="G36" s="82" t="s">
        <v>46</v>
      </c>
      <c r="H36" s="84">
        <v>3</v>
      </c>
      <c r="I36" s="84">
        <v>299.99</v>
      </c>
      <c r="J36" s="82" t="s">
        <v>26</v>
      </c>
      <c r="K36" s="82" t="s">
        <v>63</v>
      </c>
      <c r="L36" s="82" t="s">
        <v>22</v>
      </c>
      <c r="M36" s="83">
        <v>44824</v>
      </c>
      <c r="N36" s="84">
        <v>899.97</v>
      </c>
    </row>
    <row r="37" spans="1:14" ht="29.4" customHeight="1" thickBot="1">
      <c r="A37" s="82" t="s">
        <v>136</v>
      </c>
      <c r="B37" s="83">
        <v>45435</v>
      </c>
      <c r="C37" s="82" t="s">
        <v>129</v>
      </c>
      <c r="D37" s="82" t="s">
        <v>130</v>
      </c>
      <c r="E37" s="82" t="s">
        <v>114</v>
      </c>
      <c r="F37" s="82" t="s">
        <v>115</v>
      </c>
      <c r="G37" s="82" t="s">
        <v>33</v>
      </c>
      <c r="H37" s="84">
        <v>3</v>
      </c>
      <c r="I37" s="84">
        <v>79.989999999999995</v>
      </c>
      <c r="J37" s="82" t="s">
        <v>20</v>
      </c>
      <c r="K37" s="82" t="s">
        <v>35</v>
      </c>
      <c r="L37" s="82" t="s">
        <v>22</v>
      </c>
      <c r="M37" s="83">
        <v>45046</v>
      </c>
      <c r="N37" s="84">
        <v>239.97</v>
      </c>
    </row>
    <row r="38" spans="1:14" ht="29.4" customHeight="1" thickBot="1">
      <c r="A38" s="82" t="s">
        <v>137</v>
      </c>
      <c r="B38" s="83">
        <v>45438</v>
      </c>
      <c r="C38" s="82" t="s">
        <v>138</v>
      </c>
      <c r="D38" s="82" t="s">
        <v>139</v>
      </c>
      <c r="E38" s="82" t="s">
        <v>126</v>
      </c>
      <c r="F38" s="82" t="s">
        <v>127</v>
      </c>
      <c r="G38" s="82" t="s">
        <v>46</v>
      </c>
      <c r="H38" s="84">
        <v>3</v>
      </c>
      <c r="I38" s="84">
        <v>199.99</v>
      </c>
      <c r="J38" s="82" t="s">
        <v>26</v>
      </c>
      <c r="K38" s="82" t="s">
        <v>40</v>
      </c>
      <c r="L38" s="82" t="s">
        <v>27</v>
      </c>
      <c r="M38" s="83">
        <v>45292</v>
      </c>
      <c r="N38" s="84">
        <v>599.97</v>
      </c>
    </row>
    <row r="39" spans="1:14" ht="29.4" customHeight="1" thickBot="1">
      <c r="A39" s="82" t="s">
        <v>140</v>
      </c>
      <c r="B39" s="83">
        <v>45440</v>
      </c>
      <c r="C39" s="82" t="s">
        <v>141</v>
      </c>
      <c r="D39" s="82" t="s">
        <v>142</v>
      </c>
      <c r="E39" s="82" t="s">
        <v>80</v>
      </c>
      <c r="F39" s="82" t="s">
        <v>81</v>
      </c>
      <c r="G39" s="82" t="s">
        <v>19</v>
      </c>
      <c r="H39" s="84">
        <v>5</v>
      </c>
      <c r="I39" s="84">
        <v>699.99</v>
      </c>
      <c r="J39" s="82" t="s">
        <v>34</v>
      </c>
      <c r="K39" s="82" t="s">
        <v>50</v>
      </c>
      <c r="L39" s="82" t="s">
        <v>36</v>
      </c>
      <c r="M39" s="83">
        <v>44407</v>
      </c>
      <c r="N39" s="84">
        <v>3499.95</v>
      </c>
    </row>
    <row r="40" spans="1:14" ht="29.4" customHeight="1" thickBot="1">
      <c r="A40" s="82" t="s">
        <v>143</v>
      </c>
      <c r="B40" s="83">
        <v>45441</v>
      </c>
      <c r="C40" s="82" t="s">
        <v>144</v>
      </c>
      <c r="D40" s="82" t="s">
        <v>145</v>
      </c>
      <c r="E40" s="82" t="s">
        <v>117</v>
      </c>
      <c r="F40" s="82" t="s">
        <v>118</v>
      </c>
      <c r="G40" s="82" t="s">
        <v>19</v>
      </c>
      <c r="H40" s="84">
        <v>3</v>
      </c>
      <c r="I40" s="84">
        <v>89.99</v>
      </c>
      <c r="J40" s="82" t="s">
        <v>34</v>
      </c>
      <c r="K40" s="82" t="s">
        <v>21</v>
      </c>
      <c r="L40" s="82" t="s">
        <v>27</v>
      </c>
      <c r="M40" s="83">
        <v>45120</v>
      </c>
      <c r="N40" s="84">
        <v>269.97000000000003</v>
      </c>
    </row>
    <row r="41" spans="1:14" ht="29.4" customHeight="1" thickBot="1">
      <c r="A41" s="82" t="s">
        <v>146</v>
      </c>
      <c r="B41" s="83">
        <v>45443</v>
      </c>
      <c r="C41" s="82" t="s">
        <v>147</v>
      </c>
      <c r="D41" s="82" t="s">
        <v>148</v>
      </c>
      <c r="E41" s="82" t="s">
        <v>114</v>
      </c>
      <c r="F41" s="82" t="s">
        <v>115</v>
      </c>
      <c r="G41" s="82" t="s">
        <v>33</v>
      </c>
      <c r="H41" s="84">
        <v>1</v>
      </c>
      <c r="I41" s="84">
        <v>79.989999999999995</v>
      </c>
      <c r="J41" s="82" t="s">
        <v>20</v>
      </c>
      <c r="K41" s="82" t="s">
        <v>40</v>
      </c>
      <c r="L41" s="82" t="s">
        <v>36</v>
      </c>
      <c r="M41" s="83">
        <v>44917</v>
      </c>
      <c r="N41" s="84">
        <v>79.989999999999995</v>
      </c>
    </row>
    <row r="42" spans="1:14" ht="29.4" customHeight="1" thickBot="1">
      <c r="A42" s="82" t="s">
        <v>149</v>
      </c>
      <c r="B42" s="83">
        <v>45444</v>
      </c>
      <c r="C42" s="82" t="s">
        <v>150</v>
      </c>
      <c r="D42" s="82" t="s">
        <v>151</v>
      </c>
      <c r="E42" s="82" t="s">
        <v>31</v>
      </c>
      <c r="F42" s="82" t="s">
        <v>32</v>
      </c>
      <c r="G42" s="82" t="s">
        <v>33</v>
      </c>
      <c r="H42" s="84">
        <v>2</v>
      </c>
      <c r="I42" s="84">
        <v>59.99</v>
      </c>
      <c r="J42" s="82" t="s">
        <v>20</v>
      </c>
      <c r="K42" s="82" t="s">
        <v>50</v>
      </c>
      <c r="L42" s="82" t="s">
        <v>22</v>
      </c>
      <c r="M42" s="83">
        <v>45390</v>
      </c>
      <c r="N42" s="84">
        <v>119.98</v>
      </c>
    </row>
    <row r="43" spans="1:14" ht="29.4" customHeight="1" thickBot="1">
      <c r="A43" s="82" t="s">
        <v>152</v>
      </c>
      <c r="B43" s="83">
        <v>45444</v>
      </c>
      <c r="C43" s="82" t="s">
        <v>55</v>
      </c>
      <c r="D43" s="82" t="s">
        <v>56</v>
      </c>
      <c r="E43" s="82" t="s">
        <v>117</v>
      </c>
      <c r="F43" s="82" t="s">
        <v>118</v>
      </c>
      <c r="G43" s="82" t="s">
        <v>19</v>
      </c>
      <c r="H43" s="84">
        <v>1</v>
      </c>
      <c r="I43" s="84">
        <v>89.99</v>
      </c>
      <c r="J43" s="82" t="s">
        <v>20</v>
      </c>
      <c r="K43" s="82" t="s">
        <v>40</v>
      </c>
      <c r="L43" s="82" t="s">
        <v>22</v>
      </c>
      <c r="M43" s="83">
        <v>45141</v>
      </c>
      <c r="N43" s="84">
        <v>89.99</v>
      </c>
    </row>
    <row r="44" spans="1:14" ht="29.4" customHeight="1" thickBot="1">
      <c r="A44" s="82" t="s">
        <v>153</v>
      </c>
      <c r="B44" s="83">
        <v>45446</v>
      </c>
      <c r="C44" s="82" t="s">
        <v>154</v>
      </c>
      <c r="D44" s="82" t="s">
        <v>155</v>
      </c>
      <c r="E44" s="82" t="s">
        <v>117</v>
      </c>
      <c r="F44" s="82" t="s">
        <v>118</v>
      </c>
      <c r="G44" s="82" t="s">
        <v>19</v>
      </c>
      <c r="H44" s="84">
        <v>5</v>
      </c>
      <c r="I44" s="84">
        <v>89.99</v>
      </c>
      <c r="J44" s="82" t="s">
        <v>26</v>
      </c>
      <c r="K44" s="82" t="s">
        <v>63</v>
      </c>
      <c r="L44" s="82" t="s">
        <v>36</v>
      </c>
      <c r="M44" s="83">
        <v>44587</v>
      </c>
      <c r="N44" s="84">
        <v>449.95</v>
      </c>
    </row>
    <row r="45" spans="1:14" ht="29.4" customHeight="1" thickBot="1">
      <c r="A45" s="82" t="s">
        <v>156</v>
      </c>
      <c r="B45" s="83">
        <v>45449</v>
      </c>
      <c r="C45" s="82" t="s">
        <v>24</v>
      </c>
      <c r="D45" s="82" t="s">
        <v>25</v>
      </c>
      <c r="E45" s="82" t="s">
        <v>17</v>
      </c>
      <c r="F45" s="82" t="s">
        <v>18</v>
      </c>
      <c r="G45" s="82" t="s">
        <v>19</v>
      </c>
      <c r="H45" s="84">
        <v>5</v>
      </c>
      <c r="I45" s="84">
        <v>249.99</v>
      </c>
      <c r="J45" s="82" t="s">
        <v>26</v>
      </c>
      <c r="K45" s="82" t="s">
        <v>63</v>
      </c>
      <c r="L45" s="82" t="s">
        <v>36</v>
      </c>
      <c r="M45" s="83">
        <v>44707</v>
      </c>
      <c r="N45" s="84">
        <v>1249.95</v>
      </c>
    </row>
    <row r="46" spans="1:14" ht="29.4" customHeight="1" thickBot="1">
      <c r="A46" s="82" t="s">
        <v>157</v>
      </c>
      <c r="B46" s="83">
        <v>45449</v>
      </c>
      <c r="C46" s="82" t="s">
        <v>158</v>
      </c>
      <c r="D46" s="82" t="s">
        <v>159</v>
      </c>
      <c r="E46" s="82" t="s">
        <v>117</v>
      </c>
      <c r="F46" s="82" t="s">
        <v>118</v>
      </c>
      <c r="G46" s="82" t="s">
        <v>19</v>
      </c>
      <c r="H46" s="84">
        <v>1</v>
      </c>
      <c r="I46" s="84">
        <v>89.99</v>
      </c>
      <c r="J46" s="82" t="s">
        <v>26</v>
      </c>
      <c r="K46" s="82" t="s">
        <v>35</v>
      </c>
      <c r="L46" s="82" t="s">
        <v>36</v>
      </c>
      <c r="M46" s="83">
        <v>44582</v>
      </c>
      <c r="N46" s="84">
        <v>89.99</v>
      </c>
    </row>
    <row r="47" spans="1:14" ht="29.4" customHeight="1" thickBot="1">
      <c r="A47" s="82" t="s">
        <v>160</v>
      </c>
      <c r="B47" s="83">
        <v>45450</v>
      </c>
      <c r="C47" s="82" t="s">
        <v>42</v>
      </c>
      <c r="D47" s="82" t="s">
        <v>43</v>
      </c>
      <c r="E47" s="82" t="s">
        <v>44</v>
      </c>
      <c r="F47" s="82" t="s">
        <v>45</v>
      </c>
      <c r="G47" s="82" t="s">
        <v>46</v>
      </c>
      <c r="H47" s="84">
        <v>2</v>
      </c>
      <c r="I47" s="84">
        <v>149.99</v>
      </c>
      <c r="J47" s="82" t="s">
        <v>20</v>
      </c>
      <c r="K47" s="82" t="s">
        <v>63</v>
      </c>
      <c r="L47" s="82" t="s">
        <v>27</v>
      </c>
      <c r="M47" s="83">
        <v>44645</v>
      </c>
      <c r="N47" s="84">
        <v>299.98</v>
      </c>
    </row>
    <row r="48" spans="1:14" ht="29.4" customHeight="1" thickBot="1">
      <c r="A48" s="82" t="s">
        <v>161</v>
      </c>
      <c r="B48" s="83">
        <v>45452</v>
      </c>
      <c r="C48" s="82" t="s">
        <v>162</v>
      </c>
      <c r="D48" s="82" t="s">
        <v>163</v>
      </c>
      <c r="E48" s="82" t="s">
        <v>31</v>
      </c>
      <c r="F48" s="82" t="s">
        <v>32</v>
      </c>
      <c r="G48" s="82" t="s">
        <v>33</v>
      </c>
      <c r="H48" s="84">
        <v>4</v>
      </c>
      <c r="I48" s="84">
        <v>59.99</v>
      </c>
      <c r="J48" s="82" t="s">
        <v>20</v>
      </c>
      <c r="K48" s="82" t="s">
        <v>63</v>
      </c>
      <c r="L48" s="82" t="s">
        <v>36</v>
      </c>
      <c r="M48" s="83">
        <v>44435</v>
      </c>
      <c r="N48" s="84">
        <v>239.96</v>
      </c>
    </row>
    <row r="49" spans="1:14" ht="29.4" customHeight="1" thickBot="1">
      <c r="A49" s="82" t="s">
        <v>164</v>
      </c>
      <c r="B49" s="83">
        <v>45456</v>
      </c>
      <c r="C49" s="82" t="s">
        <v>129</v>
      </c>
      <c r="D49" s="82" t="s">
        <v>130</v>
      </c>
      <c r="E49" s="82" t="s">
        <v>117</v>
      </c>
      <c r="F49" s="82" t="s">
        <v>118</v>
      </c>
      <c r="G49" s="82" t="s">
        <v>19</v>
      </c>
      <c r="H49" s="84">
        <v>5</v>
      </c>
      <c r="I49" s="84">
        <v>89.99</v>
      </c>
      <c r="J49" s="82" t="s">
        <v>20</v>
      </c>
      <c r="K49" s="82" t="s">
        <v>21</v>
      </c>
      <c r="L49" s="82" t="s">
        <v>27</v>
      </c>
      <c r="M49" s="83">
        <v>44579</v>
      </c>
      <c r="N49" s="84">
        <v>449.95</v>
      </c>
    </row>
    <row r="50" spans="1:14" ht="29.4" customHeight="1" thickBot="1">
      <c r="A50" s="82" t="s">
        <v>165</v>
      </c>
      <c r="B50" s="83">
        <v>45459</v>
      </c>
      <c r="C50" s="82" t="s">
        <v>99</v>
      </c>
      <c r="D50" s="82" t="s">
        <v>100</v>
      </c>
      <c r="E50" s="82" t="s">
        <v>117</v>
      </c>
      <c r="F50" s="82" t="s">
        <v>118</v>
      </c>
      <c r="G50" s="82" t="s">
        <v>19</v>
      </c>
      <c r="H50" s="84">
        <v>2</v>
      </c>
      <c r="I50" s="84">
        <v>89.99</v>
      </c>
      <c r="J50" s="82" t="s">
        <v>26</v>
      </c>
      <c r="K50" s="82" t="s">
        <v>35</v>
      </c>
      <c r="L50" s="82" t="s">
        <v>27</v>
      </c>
      <c r="M50" s="83">
        <v>44471</v>
      </c>
      <c r="N50" s="84">
        <v>179.98</v>
      </c>
    </row>
    <row r="51" spans="1:14" ht="29.4" customHeight="1" thickBot="1">
      <c r="A51" s="82" t="s">
        <v>166</v>
      </c>
      <c r="B51" s="83">
        <v>45459</v>
      </c>
      <c r="C51" s="82" t="s">
        <v>15</v>
      </c>
      <c r="D51" s="82" t="s">
        <v>16</v>
      </c>
      <c r="E51" s="82" t="s">
        <v>61</v>
      </c>
      <c r="F51" s="82" t="s">
        <v>62</v>
      </c>
      <c r="G51" s="82" t="s">
        <v>19</v>
      </c>
      <c r="H51" s="84">
        <v>5</v>
      </c>
      <c r="I51" s="84">
        <v>899.99</v>
      </c>
      <c r="J51" s="82" t="s">
        <v>26</v>
      </c>
      <c r="K51" s="82" t="s">
        <v>35</v>
      </c>
      <c r="L51" s="82" t="s">
        <v>36</v>
      </c>
      <c r="M51" s="83">
        <v>44974</v>
      </c>
      <c r="N51" s="84">
        <v>4499.95</v>
      </c>
    </row>
    <row r="52" spans="1:14" ht="29.4" customHeight="1" thickBot="1">
      <c r="A52" s="82" t="s">
        <v>167</v>
      </c>
      <c r="B52" s="83">
        <v>45459</v>
      </c>
      <c r="C52" s="82" t="s">
        <v>123</v>
      </c>
      <c r="D52" s="82" t="s">
        <v>124</v>
      </c>
      <c r="E52" s="82" t="s">
        <v>61</v>
      </c>
      <c r="F52" s="82" t="s">
        <v>62</v>
      </c>
      <c r="G52" s="82" t="s">
        <v>19</v>
      </c>
      <c r="H52" s="84">
        <v>5</v>
      </c>
      <c r="I52" s="84">
        <v>899.99</v>
      </c>
      <c r="J52" s="82" t="s">
        <v>34</v>
      </c>
      <c r="K52" s="82" t="s">
        <v>63</v>
      </c>
      <c r="L52" s="82" t="s">
        <v>27</v>
      </c>
      <c r="M52" s="83">
        <v>45278</v>
      </c>
      <c r="N52" s="84">
        <v>4499.95</v>
      </c>
    </row>
    <row r="53" spans="1:14" ht="29.4" customHeight="1" thickBot="1">
      <c r="A53" s="82" t="s">
        <v>168</v>
      </c>
      <c r="B53" s="83">
        <v>45460</v>
      </c>
      <c r="C53" s="82" t="s">
        <v>158</v>
      </c>
      <c r="D53" s="82" t="s">
        <v>159</v>
      </c>
      <c r="E53" s="82" t="s">
        <v>31</v>
      </c>
      <c r="F53" s="82" t="s">
        <v>32</v>
      </c>
      <c r="G53" s="82" t="s">
        <v>33</v>
      </c>
      <c r="H53" s="84">
        <v>1</v>
      </c>
      <c r="I53" s="84">
        <v>59.99</v>
      </c>
      <c r="J53" s="82" t="s">
        <v>57</v>
      </c>
      <c r="K53" s="82" t="s">
        <v>50</v>
      </c>
      <c r="L53" s="82" t="s">
        <v>27</v>
      </c>
      <c r="M53" s="83">
        <v>45190</v>
      </c>
      <c r="N53" s="84">
        <v>59.99</v>
      </c>
    </row>
    <row r="54" spans="1:14" ht="29.4" customHeight="1" thickBot="1">
      <c r="A54" s="82" t="s">
        <v>169</v>
      </c>
      <c r="B54" s="83">
        <v>45460</v>
      </c>
      <c r="C54" s="82" t="s">
        <v>141</v>
      </c>
      <c r="D54" s="82" t="s">
        <v>142</v>
      </c>
      <c r="E54" s="82" t="s">
        <v>105</v>
      </c>
      <c r="F54" s="82" t="s">
        <v>106</v>
      </c>
      <c r="G54" s="82" t="s">
        <v>46</v>
      </c>
      <c r="H54" s="84">
        <v>2</v>
      </c>
      <c r="I54" s="84">
        <v>299.99</v>
      </c>
      <c r="J54" s="82" t="s">
        <v>57</v>
      </c>
      <c r="K54" s="82" t="s">
        <v>63</v>
      </c>
      <c r="L54" s="82" t="s">
        <v>36</v>
      </c>
      <c r="M54" s="83">
        <v>45253</v>
      </c>
      <c r="N54" s="84">
        <v>599.98</v>
      </c>
    </row>
    <row r="55" spans="1:14" ht="29.4" customHeight="1" thickBot="1">
      <c r="A55" s="82" t="s">
        <v>170</v>
      </c>
      <c r="B55" s="83">
        <v>45468</v>
      </c>
      <c r="C55" s="82" t="s">
        <v>171</v>
      </c>
      <c r="D55" s="82" t="s">
        <v>172</v>
      </c>
      <c r="E55" s="82" t="s">
        <v>117</v>
      </c>
      <c r="F55" s="82" t="s">
        <v>118</v>
      </c>
      <c r="G55" s="82" t="s">
        <v>19</v>
      </c>
      <c r="H55" s="84">
        <v>4</v>
      </c>
      <c r="I55" s="84">
        <v>89.99</v>
      </c>
      <c r="J55" s="82" t="s">
        <v>57</v>
      </c>
      <c r="K55" s="82" t="s">
        <v>35</v>
      </c>
      <c r="L55" s="82" t="s">
        <v>22</v>
      </c>
      <c r="M55" s="83">
        <v>45281</v>
      </c>
      <c r="N55" s="84">
        <v>359.96</v>
      </c>
    </row>
    <row r="56" spans="1:14" ht="29.4" customHeight="1" thickBot="1">
      <c r="A56" s="82" t="s">
        <v>173</v>
      </c>
      <c r="B56" s="83">
        <v>45469</v>
      </c>
      <c r="C56" s="82" t="s">
        <v>29</v>
      </c>
      <c r="D56" s="82" t="s">
        <v>30</v>
      </c>
      <c r="E56" s="82" t="s">
        <v>114</v>
      </c>
      <c r="F56" s="82" t="s">
        <v>115</v>
      </c>
      <c r="G56" s="82" t="s">
        <v>33</v>
      </c>
      <c r="H56" s="84">
        <v>1</v>
      </c>
      <c r="I56" s="84">
        <v>79.989999999999995</v>
      </c>
      <c r="J56" s="82" t="s">
        <v>34</v>
      </c>
      <c r="K56" s="82" t="s">
        <v>21</v>
      </c>
      <c r="L56" s="82" t="s">
        <v>27</v>
      </c>
      <c r="M56" s="83">
        <v>45352</v>
      </c>
      <c r="N56" s="84">
        <v>79.989999999999995</v>
      </c>
    </row>
    <row r="57" spans="1:14" ht="29.4" customHeight="1" thickBot="1">
      <c r="A57" s="82" t="s">
        <v>174</v>
      </c>
      <c r="B57" s="83">
        <v>45469</v>
      </c>
      <c r="C57" s="82" t="s">
        <v>59</v>
      </c>
      <c r="D57" s="82" t="s">
        <v>60</v>
      </c>
      <c r="E57" s="82" t="s">
        <v>117</v>
      </c>
      <c r="F57" s="82" t="s">
        <v>118</v>
      </c>
      <c r="G57" s="82" t="s">
        <v>19</v>
      </c>
      <c r="H57" s="84">
        <v>2</v>
      </c>
      <c r="I57" s="84">
        <v>89.99</v>
      </c>
      <c r="J57" s="82" t="s">
        <v>20</v>
      </c>
      <c r="K57" s="82" t="s">
        <v>50</v>
      </c>
      <c r="L57" s="82" t="s">
        <v>22</v>
      </c>
      <c r="M57" s="83">
        <v>44438</v>
      </c>
      <c r="N57" s="84">
        <v>179.98</v>
      </c>
    </row>
    <row r="58" spans="1:14" ht="29.4" customHeight="1" thickBot="1">
      <c r="A58" s="82" t="s">
        <v>175</v>
      </c>
      <c r="B58" s="83">
        <v>45471</v>
      </c>
      <c r="C58" s="82" t="s">
        <v>38</v>
      </c>
      <c r="D58" s="82" t="s">
        <v>39</v>
      </c>
      <c r="E58" s="82" t="s">
        <v>80</v>
      </c>
      <c r="F58" s="82" t="s">
        <v>81</v>
      </c>
      <c r="G58" s="82" t="s">
        <v>19</v>
      </c>
      <c r="H58" s="84">
        <v>3</v>
      </c>
      <c r="I58" s="84">
        <v>699.99</v>
      </c>
      <c r="J58" s="82" t="s">
        <v>26</v>
      </c>
      <c r="K58" s="82" t="s">
        <v>63</v>
      </c>
      <c r="L58" s="82" t="s">
        <v>27</v>
      </c>
      <c r="M58" s="83">
        <v>45102</v>
      </c>
      <c r="N58" s="84">
        <v>2099.9699999999998</v>
      </c>
    </row>
    <row r="59" spans="1:14" ht="29.4" customHeight="1" thickBot="1">
      <c r="A59" s="82" t="s">
        <v>176</v>
      </c>
      <c r="B59" s="83">
        <v>45471</v>
      </c>
      <c r="C59" s="82" t="s">
        <v>99</v>
      </c>
      <c r="D59" s="82" t="s">
        <v>100</v>
      </c>
      <c r="E59" s="82" t="s">
        <v>61</v>
      </c>
      <c r="F59" s="82" t="s">
        <v>62</v>
      </c>
      <c r="G59" s="82" t="s">
        <v>19</v>
      </c>
      <c r="H59" s="84">
        <v>4</v>
      </c>
      <c r="I59" s="84">
        <v>899.99</v>
      </c>
      <c r="J59" s="82" t="s">
        <v>26</v>
      </c>
      <c r="K59" s="82" t="s">
        <v>63</v>
      </c>
      <c r="L59" s="82" t="s">
        <v>27</v>
      </c>
      <c r="M59" s="83">
        <v>44993</v>
      </c>
      <c r="N59" s="84">
        <v>3599.96</v>
      </c>
    </row>
    <row r="60" spans="1:14" ht="29.4" customHeight="1" thickBot="1">
      <c r="A60" s="82" t="s">
        <v>177</v>
      </c>
      <c r="B60" s="83">
        <v>45472</v>
      </c>
      <c r="C60" s="82" t="s">
        <v>120</v>
      </c>
      <c r="D60" s="82" t="s">
        <v>121</v>
      </c>
      <c r="E60" s="82" t="s">
        <v>44</v>
      </c>
      <c r="F60" s="82" t="s">
        <v>45</v>
      </c>
      <c r="G60" s="82" t="s">
        <v>46</v>
      </c>
      <c r="H60" s="84">
        <v>1</v>
      </c>
      <c r="I60" s="84">
        <v>149.99</v>
      </c>
      <c r="J60" s="82" t="s">
        <v>34</v>
      </c>
      <c r="K60" s="82" t="s">
        <v>63</v>
      </c>
      <c r="L60" s="82" t="s">
        <v>22</v>
      </c>
      <c r="M60" s="83">
        <v>44851</v>
      </c>
      <c r="N60" s="84">
        <v>149.99</v>
      </c>
    </row>
    <row r="61" spans="1:14" ht="29.4" customHeight="1" thickBot="1">
      <c r="A61" s="82" t="s">
        <v>178</v>
      </c>
      <c r="B61" s="83">
        <v>45474</v>
      </c>
      <c r="C61" s="82" t="s">
        <v>132</v>
      </c>
      <c r="D61" s="82" t="s">
        <v>133</v>
      </c>
      <c r="E61" s="82" t="s">
        <v>117</v>
      </c>
      <c r="F61" s="82" t="s">
        <v>118</v>
      </c>
      <c r="G61" s="82" t="s">
        <v>19</v>
      </c>
      <c r="H61" s="84">
        <v>2</v>
      </c>
      <c r="I61" s="84">
        <v>89.99</v>
      </c>
      <c r="J61" s="82" t="s">
        <v>34</v>
      </c>
      <c r="K61" s="82" t="s">
        <v>21</v>
      </c>
      <c r="L61" s="82" t="s">
        <v>27</v>
      </c>
      <c r="M61" s="83">
        <v>45275</v>
      </c>
      <c r="N61" s="84">
        <v>179.98</v>
      </c>
    </row>
    <row r="62" spans="1:14" ht="29.4" customHeight="1" thickBot="1">
      <c r="A62" s="82" t="s">
        <v>179</v>
      </c>
      <c r="B62" s="83">
        <v>45475</v>
      </c>
      <c r="C62" s="82" t="s">
        <v>55</v>
      </c>
      <c r="D62" s="82" t="s">
        <v>56</v>
      </c>
      <c r="E62" s="82" t="s">
        <v>117</v>
      </c>
      <c r="F62" s="82" t="s">
        <v>118</v>
      </c>
      <c r="G62" s="82" t="s">
        <v>19</v>
      </c>
      <c r="H62" s="84">
        <v>1</v>
      </c>
      <c r="I62" s="84">
        <v>89.99</v>
      </c>
      <c r="J62" s="82" t="s">
        <v>34</v>
      </c>
      <c r="K62" s="82" t="s">
        <v>50</v>
      </c>
      <c r="L62" s="82" t="s">
        <v>36</v>
      </c>
      <c r="M62" s="83">
        <v>44802</v>
      </c>
      <c r="N62" s="84">
        <v>89.99</v>
      </c>
    </row>
    <row r="63" spans="1:14" ht="29.4" customHeight="1" thickBot="1">
      <c r="A63" s="82" t="s">
        <v>180</v>
      </c>
      <c r="B63" s="83">
        <v>45476</v>
      </c>
      <c r="C63" s="82" t="s">
        <v>68</v>
      </c>
      <c r="D63" s="82" t="s">
        <v>69</v>
      </c>
      <c r="E63" s="82" t="s">
        <v>117</v>
      </c>
      <c r="F63" s="82" t="s">
        <v>118</v>
      </c>
      <c r="G63" s="82" t="s">
        <v>19</v>
      </c>
      <c r="H63" s="84">
        <v>1</v>
      </c>
      <c r="I63" s="84">
        <v>89.99</v>
      </c>
      <c r="J63" s="82" t="s">
        <v>20</v>
      </c>
      <c r="K63" s="82" t="s">
        <v>35</v>
      </c>
      <c r="L63" s="82" t="s">
        <v>36</v>
      </c>
      <c r="M63" s="83">
        <v>44611</v>
      </c>
      <c r="N63" s="84">
        <v>89.99</v>
      </c>
    </row>
    <row r="64" spans="1:14" ht="29.4" customHeight="1" thickBot="1">
      <c r="A64" s="82" t="s">
        <v>181</v>
      </c>
      <c r="B64" s="83">
        <v>45476</v>
      </c>
      <c r="C64" s="82" t="s">
        <v>182</v>
      </c>
      <c r="D64" s="82" t="s">
        <v>183</v>
      </c>
      <c r="E64" s="82" t="s">
        <v>114</v>
      </c>
      <c r="F64" s="82" t="s">
        <v>115</v>
      </c>
      <c r="G64" s="82" t="s">
        <v>33</v>
      </c>
      <c r="H64" s="84">
        <v>5</v>
      </c>
      <c r="I64" s="84">
        <v>79.989999999999995</v>
      </c>
      <c r="J64" s="82" t="s">
        <v>57</v>
      </c>
      <c r="K64" s="82" t="s">
        <v>21</v>
      </c>
      <c r="L64" s="82" t="s">
        <v>22</v>
      </c>
      <c r="M64" s="83">
        <v>44981</v>
      </c>
      <c r="N64" s="84">
        <v>399.95</v>
      </c>
    </row>
    <row r="65" spans="1:14" ht="29.4" customHeight="1" thickBot="1">
      <c r="A65" s="82" t="s">
        <v>184</v>
      </c>
      <c r="B65" s="83">
        <v>45481</v>
      </c>
      <c r="C65" s="82" t="s">
        <v>185</v>
      </c>
      <c r="D65" s="82" t="s">
        <v>186</v>
      </c>
      <c r="E65" s="82" t="s">
        <v>44</v>
      </c>
      <c r="F65" s="82" t="s">
        <v>45</v>
      </c>
      <c r="G65" s="82" t="s">
        <v>46</v>
      </c>
      <c r="H65" s="84">
        <v>1</v>
      </c>
      <c r="I65" s="84">
        <v>149.99</v>
      </c>
      <c r="J65" s="82" t="s">
        <v>34</v>
      </c>
      <c r="K65" s="82" t="s">
        <v>40</v>
      </c>
      <c r="L65" s="82" t="s">
        <v>22</v>
      </c>
      <c r="M65" s="83">
        <v>44421</v>
      </c>
      <c r="N65" s="84">
        <v>149.99</v>
      </c>
    </row>
    <row r="66" spans="1:14" ht="29.4" customHeight="1" thickBot="1">
      <c r="A66" s="82" t="s">
        <v>187</v>
      </c>
      <c r="B66" s="83">
        <v>45481</v>
      </c>
      <c r="C66" s="82" t="s">
        <v>42</v>
      </c>
      <c r="D66" s="82" t="s">
        <v>43</v>
      </c>
      <c r="E66" s="82" t="s">
        <v>80</v>
      </c>
      <c r="F66" s="82" t="s">
        <v>81</v>
      </c>
      <c r="G66" s="82" t="s">
        <v>19</v>
      </c>
      <c r="H66" s="84">
        <v>2</v>
      </c>
      <c r="I66" s="84">
        <v>699.99</v>
      </c>
      <c r="J66" s="82" t="s">
        <v>34</v>
      </c>
      <c r="K66" s="82" t="s">
        <v>63</v>
      </c>
      <c r="L66" s="82" t="s">
        <v>27</v>
      </c>
      <c r="M66" s="83">
        <v>45389</v>
      </c>
      <c r="N66" s="84">
        <v>1399.98</v>
      </c>
    </row>
    <row r="67" spans="1:14" ht="29.4" customHeight="1" thickBot="1">
      <c r="A67" s="82" t="s">
        <v>188</v>
      </c>
      <c r="B67" s="83">
        <v>45481</v>
      </c>
      <c r="C67" s="82" t="s">
        <v>96</v>
      </c>
      <c r="D67" s="82" t="s">
        <v>97</v>
      </c>
      <c r="E67" s="82" t="s">
        <v>117</v>
      </c>
      <c r="F67" s="82" t="s">
        <v>118</v>
      </c>
      <c r="G67" s="82" t="s">
        <v>19</v>
      </c>
      <c r="H67" s="84">
        <v>5</v>
      </c>
      <c r="I67" s="84">
        <v>89.99</v>
      </c>
      <c r="J67" s="82" t="s">
        <v>57</v>
      </c>
      <c r="K67" s="82" t="s">
        <v>40</v>
      </c>
      <c r="L67" s="82" t="s">
        <v>27</v>
      </c>
      <c r="M67" s="83">
        <v>45161</v>
      </c>
      <c r="N67" s="84">
        <v>449.95</v>
      </c>
    </row>
    <row r="68" spans="1:14" ht="29.4" customHeight="1" thickBot="1">
      <c r="A68" s="82" t="s">
        <v>189</v>
      </c>
      <c r="B68" s="83">
        <v>45482</v>
      </c>
      <c r="C68" s="82" t="s">
        <v>171</v>
      </c>
      <c r="D68" s="82" t="s">
        <v>172</v>
      </c>
      <c r="E68" s="82" t="s">
        <v>31</v>
      </c>
      <c r="F68" s="82" t="s">
        <v>32</v>
      </c>
      <c r="G68" s="82" t="s">
        <v>33</v>
      </c>
      <c r="H68" s="84">
        <v>4</v>
      </c>
      <c r="I68" s="84">
        <v>59.99</v>
      </c>
      <c r="J68" s="82" t="s">
        <v>20</v>
      </c>
      <c r="K68" s="82" t="s">
        <v>35</v>
      </c>
      <c r="L68" s="82" t="s">
        <v>36</v>
      </c>
      <c r="M68" s="83">
        <v>44509</v>
      </c>
      <c r="N68" s="84">
        <v>239.96</v>
      </c>
    </row>
    <row r="69" spans="1:14" ht="29.4" customHeight="1" thickBot="1">
      <c r="A69" s="82" t="s">
        <v>190</v>
      </c>
      <c r="B69" s="83">
        <v>45484</v>
      </c>
      <c r="C69" s="82" t="s">
        <v>24</v>
      </c>
      <c r="D69" s="82" t="s">
        <v>25</v>
      </c>
      <c r="E69" s="82" t="s">
        <v>52</v>
      </c>
      <c r="F69" s="82" t="s">
        <v>53</v>
      </c>
      <c r="G69" s="82" t="s">
        <v>19</v>
      </c>
      <c r="H69" s="84">
        <v>1</v>
      </c>
      <c r="I69" s="84">
        <v>149.99</v>
      </c>
      <c r="J69" s="82" t="s">
        <v>20</v>
      </c>
      <c r="K69" s="82" t="s">
        <v>21</v>
      </c>
      <c r="L69" s="82" t="s">
        <v>36</v>
      </c>
      <c r="M69" s="83">
        <v>44909</v>
      </c>
      <c r="N69" s="84">
        <v>149.99</v>
      </c>
    </row>
    <row r="70" spans="1:14" ht="29.4" customHeight="1" thickBot="1">
      <c r="A70" s="82" t="s">
        <v>191</v>
      </c>
      <c r="B70" s="83">
        <v>45484</v>
      </c>
      <c r="C70" s="82" t="s">
        <v>192</v>
      </c>
      <c r="D70" s="82" t="s">
        <v>193</v>
      </c>
      <c r="E70" s="82" t="s">
        <v>105</v>
      </c>
      <c r="F70" s="82" t="s">
        <v>106</v>
      </c>
      <c r="G70" s="82" t="s">
        <v>46</v>
      </c>
      <c r="H70" s="84">
        <v>1</v>
      </c>
      <c r="I70" s="84">
        <v>299.99</v>
      </c>
      <c r="J70" s="82" t="s">
        <v>26</v>
      </c>
      <c r="K70" s="82" t="s">
        <v>40</v>
      </c>
      <c r="L70" s="82" t="s">
        <v>27</v>
      </c>
      <c r="M70" s="83">
        <v>44891</v>
      </c>
      <c r="N70" s="84">
        <v>299.99</v>
      </c>
    </row>
    <row r="71" spans="1:14" ht="29.4" customHeight="1" thickBot="1">
      <c r="A71" s="82" t="s">
        <v>194</v>
      </c>
      <c r="B71" s="83">
        <v>45487</v>
      </c>
      <c r="C71" s="82" t="s">
        <v>192</v>
      </c>
      <c r="D71" s="82" t="s">
        <v>193</v>
      </c>
      <c r="E71" s="82" t="s">
        <v>126</v>
      </c>
      <c r="F71" s="82" t="s">
        <v>127</v>
      </c>
      <c r="G71" s="82" t="s">
        <v>46</v>
      </c>
      <c r="H71" s="84">
        <v>2</v>
      </c>
      <c r="I71" s="84">
        <v>199.99</v>
      </c>
      <c r="J71" s="82" t="s">
        <v>20</v>
      </c>
      <c r="K71" s="82" t="s">
        <v>40</v>
      </c>
      <c r="L71" s="82" t="s">
        <v>22</v>
      </c>
      <c r="M71" s="83">
        <v>44541</v>
      </c>
      <c r="N71" s="84">
        <v>399.98</v>
      </c>
    </row>
    <row r="72" spans="1:14" ht="29.4" customHeight="1" thickBot="1">
      <c r="A72" s="82" t="s">
        <v>195</v>
      </c>
      <c r="B72" s="83">
        <v>45490</v>
      </c>
      <c r="C72" s="82" t="s">
        <v>196</v>
      </c>
      <c r="D72" s="82" t="s">
        <v>197</v>
      </c>
      <c r="E72" s="82" t="s">
        <v>31</v>
      </c>
      <c r="F72" s="82" t="s">
        <v>32</v>
      </c>
      <c r="G72" s="82" t="s">
        <v>33</v>
      </c>
      <c r="H72" s="84">
        <v>3</v>
      </c>
      <c r="I72" s="84">
        <v>59.99</v>
      </c>
      <c r="J72" s="82" t="s">
        <v>26</v>
      </c>
      <c r="K72" s="82" t="s">
        <v>50</v>
      </c>
      <c r="L72" s="82" t="s">
        <v>22</v>
      </c>
      <c r="M72" s="83">
        <v>45130</v>
      </c>
      <c r="N72" s="84">
        <v>179.97</v>
      </c>
    </row>
    <row r="73" spans="1:14" ht="43.8" customHeight="1" thickBot="1">
      <c r="A73" s="82" t="s">
        <v>198</v>
      </c>
      <c r="B73" s="83">
        <v>45490</v>
      </c>
      <c r="C73" s="82" t="s">
        <v>72</v>
      </c>
      <c r="D73" s="82" t="s">
        <v>73</v>
      </c>
      <c r="E73" s="82" t="s">
        <v>44</v>
      </c>
      <c r="F73" s="82" t="s">
        <v>45</v>
      </c>
      <c r="G73" s="82" t="s">
        <v>46</v>
      </c>
      <c r="H73" s="84">
        <v>3</v>
      </c>
      <c r="I73" s="84">
        <v>149.99</v>
      </c>
      <c r="J73" s="82" t="s">
        <v>20</v>
      </c>
      <c r="K73" s="82" t="s">
        <v>21</v>
      </c>
      <c r="L73" s="82" t="s">
        <v>27</v>
      </c>
      <c r="M73" s="83">
        <v>45199</v>
      </c>
      <c r="N73" s="84">
        <v>449.97</v>
      </c>
    </row>
    <row r="74" spans="1:14" ht="29.4" customHeight="1" thickBot="1">
      <c r="A74" s="82" t="s">
        <v>199</v>
      </c>
      <c r="B74" s="83">
        <v>45491</v>
      </c>
      <c r="C74" s="82" t="s">
        <v>65</v>
      </c>
      <c r="D74" s="82" t="s">
        <v>66</v>
      </c>
      <c r="E74" s="82" t="s">
        <v>126</v>
      </c>
      <c r="F74" s="82" t="s">
        <v>127</v>
      </c>
      <c r="G74" s="82" t="s">
        <v>46</v>
      </c>
      <c r="H74" s="84">
        <v>3</v>
      </c>
      <c r="I74" s="84">
        <v>199.99</v>
      </c>
      <c r="J74" s="82" t="s">
        <v>20</v>
      </c>
      <c r="K74" s="82" t="s">
        <v>40</v>
      </c>
      <c r="L74" s="82" t="s">
        <v>27</v>
      </c>
      <c r="M74" s="83">
        <v>45254</v>
      </c>
      <c r="N74" s="84">
        <v>599.97</v>
      </c>
    </row>
    <row r="75" spans="1:14" ht="29.4" customHeight="1" thickBot="1">
      <c r="A75" s="82" t="s">
        <v>200</v>
      </c>
      <c r="B75" s="83">
        <v>45496</v>
      </c>
      <c r="C75" s="82" t="s">
        <v>150</v>
      </c>
      <c r="D75" s="82" t="s">
        <v>151</v>
      </c>
      <c r="E75" s="82" t="s">
        <v>61</v>
      </c>
      <c r="F75" s="82" t="s">
        <v>62</v>
      </c>
      <c r="G75" s="82" t="s">
        <v>19</v>
      </c>
      <c r="H75" s="84">
        <v>1</v>
      </c>
      <c r="I75" s="84">
        <v>899.99</v>
      </c>
      <c r="J75" s="82" t="s">
        <v>20</v>
      </c>
      <c r="K75" s="82" t="s">
        <v>21</v>
      </c>
      <c r="L75" s="82" t="s">
        <v>36</v>
      </c>
      <c r="M75" s="83">
        <v>45179</v>
      </c>
      <c r="N75" s="84">
        <v>899.99</v>
      </c>
    </row>
    <row r="76" spans="1:14" ht="29.4" customHeight="1" thickBot="1">
      <c r="A76" s="82" t="s">
        <v>201</v>
      </c>
      <c r="B76" s="83">
        <v>45497</v>
      </c>
      <c r="C76" s="82" t="s">
        <v>24</v>
      </c>
      <c r="D76" s="82" t="s">
        <v>25</v>
      </c>
      <c r="E76" s="82" t="s">
        <v>61</v>
      </c>
      <c r="F76" s="82" t="s">
        <v>62</v>
      </c>
      <c r="G76" s="82" t="s">
        <v>19</v>
      </c>
      <c r="H76" s="84">
        <v>5</v>
      </c>
      <c r="I76" s="84">
        <v>899.99</v>
      </c>
      <c r="J76" s="82" t="s">
        <v>57</v>
      </c>
      <c r="K76" s="82" t="s">
        <v>35</v>
      </c>
      <c r="L76" s="82" t="s">
        <v>36</v>
      </c>
      <c r="M76" s="83">
        <v>44899</v>
      </c>
      <c r="N76" s="84">
        <v>4499.95</v>
      </c>
    </row>
    <row r="77" spans="1:14" ht="29.4" customHeight="1" thickBot="1">
      <c r="A77" s="82" t="s">
        <v>202</v>
      </c>
      <c r="B77" s="83">
        <v>45498</v>
      </c>
      <c r="C77" s="82" t="s">
        <v>182</v>
      </c>
      <c r="D77" s="82" t="s">
        <v>183</v>
      </c>
      <c r="E77" s="82" t="s">
        <v>31</v>
      </c>
      <c r="F77" s="82" t="s">
        <v>32</v>
      </c>
      <c r="G77" s="82" t="s">
        <v>33</v>
      </c>
      <c r="H77" s="84">
        <v>2</v>
      </c>
      <c r="I77" s="84">
        <v>59.99</v>
      </c>
      <c r="J77" s="82" t="s">
        <v>20</v>
      </c>
      <c r="K77" s="82" t="s">
        <v>40</v>
      </c>
      <c r="L77" s="82" t="s">
        <v>36</v>
      </c>
      <c r="M77" s="83">
        <v>45152</v>
      </c>
      <c r="N77" s="84">
        <v>119.98</v>
      </c>
    </row>
    <row r="78" spans="1:14" ht="29.4" customHeight="1" thickBot="1">
      <c r="A78" s="82" t="s">
        <v>203</v>
      </c>
      <c r="B78" s="83">
        <v>45498</v>
      </c>
      <c r="C78" s="82" t="s">
        <v>196</v>
      </c>
      <c r="D78" s="82" t="s">
        <v>197</v>
      </c>
      <c r="E78" s="82" t="s">
        <v>17</v>
      </c>
      <c r="F78" s="82" t="s">
        <v>18</v>
      </c>
      <c r="G78" s="82" t="s">
        <v>19</v>
      </c>
      <c r="H78" s="84">
        <v>4</v>
      </c>
      <c r="I78" s="84">
        <v>249.99</v>
      </c>
      <c r="J78" s="82" t="s">
        <v>57</v>
      </c>
      <c r="K78" s="82" t="s">
        <v>21</v>
      </c>
      <c r="L78" s="82" t="s">
        <v>36</v>
      </c>
      <c r="M78" s="83">
        <v>45127</v>
      </c>
      <c r="N78" s="84">
        <v>999.96</v>
      </c>
    </row>
    <row r="79" spans="1:14" ht="29.4" customHeight="1" thickBot="1">
      <c r="A79" s="82" t="s">
        <v>204</v>
      </c>
      <c r="B79" s="83">
        <v>45500</v>
      </c>
      <c r="C79" s="82" t="s">
        <v>96</v>
      </c>
      <c r="D79" s="82" t="s">
        <v>97</v>
      </c>
      <c r="E79" s="82" t="s">
        <v>17</v>
      </c>
      <c r="F79" s="82" t="s">
        <v>18</v>
      </c>
      <c r="G79" s="82" t="s">
        <v>19</v>
      </c>
      <c r="H79" s="84">
        <v>2</v>
      </c>
      <c r="I79" s="84">
        <v>249.99</v>
      </c>
      <c r="J79" s="82" t="s">
        <v>20</v>
      </c>
      <c r="K79" s="82" t="s">
        <v>40</v>
      </c>
      <c r="L79" s="82" t="s">
        <v>27</v>
      </c>
      <c r="M79" s="83">
        <v>45164</v>
      </c>
      <c r="N79" s="84">
        <v>499.98</v>
      </c>
    </row>
    <row r="80" spans="1:14" ht="29.4" customHeight="1" thickBot="1">
      <c r="A80" s="82" t="s">
        <v>205</v>
      </c>
      <c r="B80" s="83">
        <v>45500</v>
      </c>
      <c r="C80" s="82" t="s">
        <v>147</v>
      </c>
      <c r="D80" s="82" t="s">
        <v>148</v>
      </c>
      <c r="E80" s="82" t="s">
        <v>105</v>
      </c>
      <c r="F80" s="82" t="s">
        <v>106</v>
      </c>
      <c r="G80" s="82" t="s">
        <v>46</v>
      </c>
      <c r="H80" s="84">
        <v>1</v>
      </c>
      <c r="I80" s="84">
        <v>299.99</v>
      </c>
      <c r="J80" s="82" t="s">
        <v>20</v>
      </c>
      <c r="K80" s="82" t="s">
        <v>35</v>
      </c>
      <c r="L80" s="82" t="s">
        <v>22</v>
      </c>
      <c r="M80" s="83">
        <v>44982</v>
      </c>
      <c r="N80" s="84">
        <v>299.99</v>
      </c>
    </row>
    <row r="81" spans="1:14" ht="29.4" customHeight="1" thickBot="1">
      <c r="A81" s="82" t="s">
        <v>206</v>
      </c>
      <c r="B81" s="83">
        <v>45501</v>
      </c>
      <c r="C81" s="82" t="s">
        <v>86</v>
      </c>
      <c r="D81" s="82" t="s">
        <v>87</v>
      </c>
      <c r="E81" s="82" t="s">
        <v>117</v>
      </c>
      <c r="F81" s="82" t="s">
        <v>118</v>
      </c>
      <c r="G81" s="82" t="s">
        <v>19</v>
      </c>
      <c r="H81" s="84">
        <v>2</v>
      </c>
      <c r="I81" s="84">
        <v>89.99</v>
      </c>
      <c r="J81" s="82" t="s">
        <v>34</v>
      </c>
      <c r="K81" s="82" t="s">
        <v>35</v>
      </c>
      <c r="L81" s="82" t="s">
        <v>22</v>
      </c>
      <c r="M81" s="83">
        <v>44976</v>
      </c>
      <c r="N81" s="84">
        <v>179.98</v>
      </c>
    </row>
    <row r="82" spans="1:14" ht="29.4" customHeight="1" thickBot="1">
      <c r="A82" s="82" t="s">
        <v>207</v>
      </c>
      <c r="B82" s="83">
        <v>45501</v>
      </c>
      <c r="C82" s="82" t="s">
        <v>147</v>
      </c>
      <c r="D82" s="82" t="s">
        <v>148</v>
      </c>
      <c r="E82" s="82" t="s">
        <v>105</v>
      </c>
      <c r="F82" s="82" t="s">
        <v>106</v>
      </c>
      <c r="G82" s="82" t="s">
        <v>46</v>
      </c>
      <c r="H82" s="84">
        <v>3</v>
      </c>
      <c r="I82" s="84">
        <v>299.99</v>
      </c>
      <c r="J82" s="82" t="s">
        <v>20</v>
      </c>
      <c r="K82" s="82" t="s">
        <v>21</v>
      </c>
      <c r="L82" s="82" t="s">
        <v>22</v>
      </c>
      <c r="M82" s="83">
        <v>44732</v>
      </c>
      <c r="N82" s="84">
        <v>899.97</v>
      </c>
    </row>
    <row r="83" spans="1:14" ht="29.4" customHeight="1" thickBot="1">
      <c r="A83" s="82" t="s">
        <v>208</v>
      </c>
      <c r="B83" s="83">
        <v>45503</v>
      </c>
      <c r="C83" s="82" t="s">
        <v>86</v>
      </c>
      <c r="D83" s="82" t="s">
        <v>87</v>
      </c>
      <c r="E83" s="82" t="s">
        <v>80</v>
      </c>
      <c r="F83" s="82" t="s">
        <v>81</v>
      </c>
      <c r="G83" s="82" t="s">
        <v>19</v>
      </c>
      <c r="H83" s="84">
        <v>2</v>
      </c>
      <c r="I83" s="84">
        <v>699.99</v>
      </c>
      <c r="J83" s="82" t="s">
        <v>26</v>
      </c>
      <c r="K83" s="82" t="s">
        <v>40</v>
      </c>
      <c r="L83" s="82" t="s">
        <v>27</v>
      </c>
      <c r="M83" s="83">
        <v>44999</v>
      </c>
      <c r="N83" s="84">
        <v>1399.98</v>
      </c>
    </row>
    <row r="84" spans="1:14" ht="29.4" customHeight="1" thickBot="1">
      <c r="A84" s="82" t="s">
        <v>209</v>
      </c>
      <c r="B84" s="83">
        <v>45504</v>
      </c>
      <c r="C84" s="82" t="s">
        <v>120</v>
      </c>
      <c r="D84" s="82" t="s">
        <v>121</v>
      </c>
      <c r="E84" s="82" t="s">
        <v>61</v>
      </c>
      <c r="F84" s="82" t="s">
        <v>62</v>
      </c>
      <c r="G84" s="82" t="s">
        <v>19</v>
      </c>
      <c r="H84" s="84">
        <v>4</v>
      </c>
      <c r="I84" s="84">
        <v>899.99</v>
      </c>
      <c r="J84" s="82" t="s">
        <v>57</v>
      </c>
      <c r="K84" s="82" t="s">
        <v>35</v>
      </c>
      <c r="L84" s="82" t="s">
        <v>36</v>
      </c>
      <c r="M84" s="83">
        <v>44523</v>
      </c>
      <c r="N84" s="84">
        <v>3599.96</v>
      </c>
    </row>
    <row r="85" spans="1:14" ht="29.4" customHeight="1" thickBot="1">
      <c r="A85" s="82" t="s">
        <v>210</v>
      </c>
      <c r="B85" s="83">
        <v>45509</v>
      </c>
      <c r="C85" s="82" t="s">
        <v>211</v>
      </c>
      <c r="D85" s="82" t="s">
        <v>212</v>
      </c>
      <c r="E85" s="82" t="s">
        <v>44</v>
      </c>
      <c r="F85" s="82" t="s">
        <v>45</v>
      </c>
      <c r="G85" s="82" t="s">
        <v>46</v>
      </c>
      <c r="H85" s="84">
        <v>2</v>
      </c>
      <c r="I85" s="84">
        <v>149.99</v>
      </c>
      <c r="J85" s="82" t="s">
        <v>26</v>
      </c>
      <c r="K85" s="82" t="s">
        <v>50</v>
      </c>
      <c r="L85" s="82" t="s">
        <v>22</v>
      </c>
      <c r="M85" s="83">
        <v>44542</v>
      </c>
      <c r="N85" s="84">
        <v>299.98</v>
      </c>
    </row>
    <row r="86" spans="1:14" ht="29.4" customHeight="1" thickBot="1">
      <c r="A86" s="82" t="s">
        <v>213</v>
      </c>
      <c r="B86" s="83">
        <v>45510</v>
      </c>
      <c r="C86" s="82" t="s">
        <v>102</v>
      </c>
      <c r="D86" s="82" t="s">
        <v>103</v>
      </c>
      <c r="E86" s="82" t="s">
        <v>44</v>
      </c>
      <c r="F86" s="82" t="s">
        <v>45</v>
      </c>
      <c r="G86" s="82" t="s">
        <v>46</v>
      </c>
      <c r="H86" s="84">
        <v>2</v>
      </c>
      <c r="I86" s="84">
        <v>149.99</v>
      </c>
      <c r="J86" s="82" t="s">
        <v>57</v>
      </c>
      <c r="K86" s="82" t="s">
        <v>63</v>
      </c>
      <c r="L86" s="82" t="s">
        <v>36</v>
      </c>
      <c r="M86" s="83">
        <v>44667</v>
      </c>
      <c r="N86" s="84">
        <v>299.98</v>
      </c>
    </row>
    <row r="87" spans="1:14" ht="29.4" customHeight="1" thickBot="1">
      <c r="A87" s="82" t="s">
        <v>214</v>
      </c>
      <c r="B87" s="83">
        <v>45513</v>
      </c>
      <c r="C87" s="82" t="s">
        <v>89</v>
      </c>
      <c r="D87" s="82" t="s">
        <v>90</v>
      </c>
      <c r="E87" s="82" t="s">
        <v>117</v>
      </c>
      <c r="F87" s="82" t="s">
        <v>118</v>
      </c>
      <c r="G87" s="82" t="s">
        <v>19</v>
      </c>
      <c r="H87" s="84">
        <v>1</v>
      </c>
      <c r="I87" s="84">
        <v>89.99</v>
      </c>
      <c r="J87" s="82" t="s">
        <v>26</v>
      </c>
      <c r="K87" s="82" t="s">
        <v>40</v>
      </c>
      <c r="L87" s="82" t="s">
        <v>36</v>
      </c>
      <c r="M87" s="83">
        <v>45393</v>
      </c>
      <c r="N87" s="84">
        <v>89.99</v>
      </c>
    </row>
    <row r="88" spans="1:14" ht="29.4" customHeight="1" thickBot="1">
      <c r="A88" s="82" t="s">
        <v>215</v>
      </c>
      <c r="B88" s="83">
        <v>45515</v>
      </c>
      <c r="C88" s="82" t="s">
        <v>86</v>
      </c>
      <c r="D88" s="82" t="s">
        <v>87</v>
      </c>
      <c r="E88" s="82" t="s">
        <v>105</v>
      </c>
      <c r="F88" s="82" t="s">
        <v>106</v>
      </c>
      <c r="G88" s="82" t="s">
        <v>46</v>
      </c>
      <c r="H88" s="84">
        <v>5</v>
      </c>
      <c r="I88" s="84">
        <v>299.99</v>
      </c>
      <c r="J88" s="82" t="s">
        <v>26</v>
      </c>
      <c r="K88" s="82" t="s">
        <v>40</v>
      </c>
      <c r="L88" s="82" t="s">
        <v>22</v>
      </c>
      <c r="M88" s="83">
        <v>44965</v>
      </c>
      <c r="N88" s="84">
        <v>1499.95</v>
      </c>
    </row>
    <row r="89" spans="1:14" ht="29.4" customHeight="1" thickBot="1">
      <c r="A89" s="82" t="s">
        <v>216</v>
      </c>
      <c r="B89" s="83">
        <v>45517</v>
      </c>
      <c r="C89" s="82" t="s">
        <v>182</v>
      </c>
      <c r="D89" s="82" t="s">
        <v>183</v>
      </c>
      <c r="E89" s="82" t="s">
        <v>52</v>
      </c>
      <c r="F89" s="82" t="s">
        <v>53</v>
      </c>
      <c r="G89" s="82" t="s">
        <v>19</v>
      </c>
      <c r="H89" s="84">
        <v>4</v>
      </c>
      <c r="I89" s="84">
        <v>149.99</v>
      </c>
      <c r="J89" s="82" t="s">
        <v>57</v>
      </c>
      <c r="K89" s="82" t="s">
        <v>35</v>
      </c>
      <c r="L89" s="82" t="s">
        <v>27</v>
      </c>
      <c r="M89" s="83">
        <v>44820</v>
      </c>
      <c r="N89" s="84">
        <v>599.96</v>
      </c>
    </row>
    <row r="90" spans="1:14" ht="29.4" customHeight="1" thickBot="1">
      <c r="A90" s="82" t="s">
        <v>217</v>
      </c>
      <c r="B90" s="83">
        <v>45517</v>
      </c>
      <c r="C90" s="82" t="s">
        <v>185</v>
      </c>
      <c r="D90" s="82" t="s">
        <v>186</v>
      </c>
      <c r="E90" s="82" t="s">
        <v>17</v>
      </c>
      <c r="F90" s="82" t="s">
        <v>18</v>
      </c>
      <c r="G90" s="82" t="s">
        <v>19</v>
      </c>
      <c r="H90" s="84">
        <v>5</v>
      </c>
      <c r="I90" s="84">
        <v>249.99</v>
      </c>
      <c r="J90" s="82" t="s">
        <v>34</v>
      </c>
      <c r="K90" s="82" t="s">
        <v>63</v>
      </c>
      <c r="L90" s="82" t="s">
        <v>27</v>
      </c>
      <c r="M90" s="83">
        <v>44782</v>
      </c>
      <c r="N90" s="84">
        <v>1249.95</v>
      </c>
    </row>
    <row r="91" spans="1:14" ht="29.4" customHeight="1" thickBot="1">
      <c r="A91" s="82" t="s">
        <v>218</v>
      </c>
      <c r="B91" s="83">
        <v>45517</v>
      </c>
      <c r="C91" s="82" t="s">
        <v>65</v>
      </c>
      <c r="D91" s="82" t="s">
        <v>66</v>
      </c>
      <c r="E91" s="82" t="s">
        <v>17</v>
      </c>
      <c r="F91" s="82" t="s">
        <v>18</v>
      </c>
      <c r="G91" s="82" t="s">
        <v>19</v>
      </c>
      <c r="H91" s="84">
        <v>3</v>
      </c>
      <c r="I91" s="84">
        <v>249.99</v>
      </c>
      <c r="J91" s="82" t="s">
        <v>34</v>
      </c>
      <c r="K91" s="82" t="s">
        <v>40</v>
      </c>
      <c r="L91" s="82" t="s">
        <v>27</v>
      </c>
      <c r="M91" s="83">
        <v>44465</v>
      </c>
      <c r="N91" s="84">
        <v>749.97</v>
      </c>
    </row>
    <row r="92" spans="1:14" ht="29.4" customHeight="1" thickBot="1">
      <c r="A92" s="82" t="s">
        <v>219</v>
      </c>
      <c r="B92" s="83">
        <v>45517</v>
      </c>
      <c r="C92" s="82" t="s">
        <v>38</v>
      </c>
      <c r="D92" s="82" t="s">
        <v>39</v>
      </c>
      <c r="E92" s="82" t="s">
        <v>126</v>
      </c>
      <c r="F92" s="82" t="s">
        <v>127</v>
      </c>
      <c r="G92" s="82" t="s">
        <v>46</v>
      </c>
      <c r="H92" s="84">
        <v>4</v>
      </c>
      <c r="I92" s="84">
        <v>199.99</v>
      </c>
      <c r="J92" s="82" t="s">
        <v>20</v>
      </c>
      <c r="K92" s="82" t="s">
        <v>40</v>
      </c>
      <c r="L92" s="82" t="s">
        <v>36</v>
      </c>
      <c r="M92" s="83">
        <v>44458</v>
      </c>
      <c r="N92" s="84">
        <v>799.96</v>
      </c>
    </row>
    <row r="93" spans="1:14" ht="29.4" customHeight="1" thickBot="1">
      <c r="A93" s="82" t="s">
        <v>220</v>
      </c>
      <c r="B93" s="83">
        <v>45519</v>
      </c>
      <c r="C93" s="82" t="s">
        <v>158</v>
      </c>
      <c r="D93" s="82" t="s">
        <v>159</v>
      </c>
      <c r="E93" s="82" t="s">
        <v>126</v>
      </c>
      <c r="F93" s="82" t="s">
        <v>127</v>
      </c>
      <c r="G93" s="82" t="s">
        <v>46</v>
      </c>
      <c r="H93" s="84">
        <v>5</v>
      </c>
      <c r="I93" s="84">
        <v>199.99</v>
      </c>
      <c r="J93" s="82" t="s">
        <v>20</v>
      </c>
      <c r="K93" s="82" t="s">
        <v>40</v>
      </c>
      <c r="L93" s="82" t="s">
        <v>27</v>
      </c>
      <c r="M93" s="83">
        <v>44991</v>
      </c>
      <c r="N93" s="84">
        <v>999.95</v>
      </c>
    </row>
    <row r="94" spans="1:14" ht="29.4" customHeight="1" thickBot="1">
      <c r="A94" s="82" t="s">
        <v>221</v>
      </c>
      <c r="B94" s="83">
        <v>45522</v>
      </c>
      <c r="C94" s="82" t="s">
        <v>86</v>
      </c>
      <c r="D94" s="82" t="s">
        <v>87</v>
      </c>
      <c r="E94" s="82" t="s">
        <v>117</v>
      </c>
      <c r="F94" s="82" t="s">
        <v>118</v>
      </c>
      <c r="G94" s="82" t="s">
        <v>19</v>
      </c>
      <c r="H94" s="84">
        <v>2</v>
      </c>
      <c r="I94" s="84">
        <v>89.99</v>
      </c>
      <c r="J94" s="82" t="s">
        <v>20</v>
      </c>
      <c r="K94" s="82" t="s">
        <v>63</v>
      </c>
      <c r="L94" s="82" t="s">
        <v>27</v>
      </c>
      <c r="M94" s="83">
        <v>44972</v>
      </c>
      <c r="N94" s="84">
        <v>179.98</v>
      </c>
    </row>
    <row r="95" spans="1:14" ht="29.4" customHeight="1" thickBot="1">
      <c r="A95" s="82" t="s">
        <v>222</v>
      </c>
      <c r="B95" s="83">
        <v>45523</v>
      </c>
      <c r="C95" s="82" t="s">
        <v>196</v>
      </c>
      <c r="D95" s="82" t="s">
        <v>197</v>
      </c>
      <c r="E95" s="82" t="s">
        <v>61</v>
      </c>
      <c r="F95" s="82" t="s">
        <v>62</v>
      </c>
      <c r="G95" s="82" t="s">
        <v>19</v>
      </c>
      <c r="H95" s="84">
        <v>5</v>
      </c>
      <c r="I95" s="84">
        <v>899.99</v>
      </c>
      <c r="J95" s="82" t="s">
        <v>57</v>
      </c>
      <c r="K95" s="82" t="s">
        <v>63</v>
      </c>
      <c r="L95" s="82" t="s">
        <v>22</v>
      </c>
      <c r="M95" s="83">
        <v>44526</v>
      </c>
      <c r="N95" s="84">
        <v>4499.95</v>
      </c>
    </row>
    <row r="96" spans="1:14" ht="29.4" customHeight="1" thickBot="1">
      <c r="A96" s="82" t="s">
        <v>223</v>
      </c>
      <c r="B96" s="83">
        <v>45523</v>
      </c>
      <c r="C96" s="82" t="s">
        <v>108</v>
      </c>
      <c r="D96" s="82" t="s">
        <v>109</v>
      </c>
      <c r="E96" s="82" t="s">
        <v>52</v>
      </c>
      <c r="F96" s="82" t="s">
        <v>53</v>
      </c>
      <c r="G96" s="82" t="s">
        <v>19</v>
      </c>
      <c r="H96" s="84">
        <v>3</v>
      </c>
      <c r="I96" s="84">
        <v>149.99</v>
      </c>
      <c r="J96" s="82" t="s">
        <v>34</v>
      </c>
      <c r="K96" s="82" t="s">
        <v>63</v>
      </c>
      <c r="L96" s="82" t="s">
        <v>22</v>
      </c>
      <c r="M96" s="83">
        <v>44574</v>
      </c>
      <c r="N96" s="84">
        <v>449.97</v>
      </c>
    </row>
    <row r="97" spans="1:14" ht="29.4" customHeight="1" thickBot="1">
      <c r="A97" s="82" t="s">
        <v>224</v>
      </c>
      <c r="B97" s="83">
        <v>45526</v>
      </c>
      <c r="C97" s="82" t="s">
        <v>102</v>
      </c>
      <c r="D97" s="82" t="s">
        <v>103</v>
      </c>
      <c r="E97" s="82" t="s">
        <v>44</v>
      </c>
      <c r="F97" s="82" t="s">
        <v>45</v>
      </c>
      <c r="G97" s="82" t="s">
        <v>46</v>
      </c>
      <c r="H97" s="84">
        <v>5</v>
      </c>
      <c r="I97" s="84">
        <v>149.99</v>
      </c>
      <c r="J97" s="82" t="s">
        <v>26</v>
      </c>
      <c r="K97" s="82" t="s">
        <v>21</v>
      </c>
      <c r="L97" s="82" t="s">
        <v>22</v>
      </c>
      <c r="M97" s="83">
        <v>45310</v>
      </c>
      <c r="N97" s="84">
        <v>749.95</v>
      </c>
    </row>
    <row r="98" spans="1:14" ht="29.4" customHeight="1" thickBot="1">
      <c r="A98" s="82" t="s">
        <v>225</v>
      </c>
      <c r="B98" s="83">
        <v>45528</v>
      </c>
      <c r="C98" s="82" t="s">
        <v>226</v>
      </c>
      <c r="D98" s="82" t="s">
        <v>227</v>
      </c>
      <c r="E98" s="82" t="s">
        <v>114</v>
      </c>
      <c r="F98" s="82" t="s">
        <v>115</v>
      </c>
      <c r="G98" s="82" t="s">
        <v>33</v>
      </c>
      <c r="H98" s="84">
        <v>3</v>
      </c>
      <c r="I98" s="84">
        <v>79.989999999999995</v>
      </c>
      <c r="J98" s="82" t="s">
        <v>20</v>
      </c>
      <c r="K98" s="82" t="s">
        <v>21</v>
      </c>
      <c r="L98" s="82" t="s">
        <v>27</v>
      </c>
      <c r="M98" s="83">
        <v>44779</v>
      </c>
      <c r="N98" s="84">
        <v>239.97</v>
      </c>
    </row>
    <row r="99" spans="1:14" ht="29.4" customHeight="1" thickBot="1">
      <c r="A99" s="82" t="s">
        <v>228</v>
      </c>
      <c r="B99" s="83">
        <v>45528</v>
      </c>
      <c r="C99" s="82" t="s">
        <v>144</v>
      </c>
      <c r="D99" s="82" t="s">
        <v>145</v>
      </c>
      <c r="E99" s="82" t="s">
        <v>17</v>
      </c>
      <c r="F99" s="82" t="s">
        <v>18</v>
      </c>
      <c r="G99" s="82" t="s">
        <v>19</v>
      </c>
      <c r="H99" s="84">
        <v>2</v>
      </c>
      <c r="I99" s="84">
        <v>249.99</v>
      </c>
      <c r="J99" s="82" t="s">
        <v>20</v>
      </c>
      <c r="K99" s="82" t="s">
        <v>35</v>
      </c>
      <c r="L99" s="82" t="s">
        <v>36</v>
      </c>
      <c r="M99" s="83">
        <v>44572</v>
      </c>
      <c r="N99" s="84">
        <v>499.98</v>
      </c>
    </row>
    <row r="100" spans="1:14" ht="29.4" customHeight="1" thickBot="1">
      <c r="A100" s="82" t="s">
        <v>229</v>
      </c>
      <c r="B100" s="83">
        <v>45532</v>
      </c>
      <c r="C100" s="82" t="s">
        <v>196</v>
      </c>
      <c r="D100" s="82" t="s">
        <v>197</v>
      </c>
      <c r="E100" s="82" t="s">
        <v>80</v>
      </c>
      <c r="F100" s="82" t="s">
        <v>81</v>
      </c>
      <c r="G100" s="82" t="s">
        <v>19</v>
      </c>
      <c r="H100" s="84">
        <v>1</v>
      </c>
      <c r="I100" s="84">
        <v>699.99</v>
      </c>
      <c r="J100" s="82" t="s">
        <v>20</v>
      </c>
      <c r="K100" s="82" t="s">
        <v>21</v>
      </c>
      <c r="L100" s="82" t="s">
        <v>27</v>
      </c>
      <c r="M100" s="83">
        <v>44497</v>
      </c>
      <c r="N100" s="84">
        <v>699.99</v>
      </c>
    </row>
    <row r="101" spans="1:14" ht="29.4" customHeight="1" thickBot="1">
      <c r="A101" s="82" t="s">
        <v>230</v>
      </c>
      <c r="B101" s="83">
        <v>45532</v>
      </c>
      <c r="C101" s="82" t="s">
        <v>231</v>
      </c>
      <c r="D101" s="82" t="s">
        <v>232</v>
      </c>
      <c r="E101" s="82" t="s">
        <v>52</v>
      </c>
      <c r="F101" s="82" t="s">
        <v>53</v>
      </c>
      <c r="G101" s="82" t="s">
        <v>19</v>
      </c>
      <c r="H101" s="84">
        <v>3</v>
      </c>
      <c r="I101" s="84">
        <v>149.99</v>
      </c>
      <c r="J101" s="82" t="s">
        <v>20</v>
      </c>
      <c r="K101" s="82" t="s">
        <v>50</v>
      </c>
      <c r="L101" s="82" t="s">
        <v>27</v>
      </c>
      <c r="M101" s="83">
        <v>45212</v>
      </c>
      <c r="N101" s="84">
        <v>449.97</v>
      </c>
    </row>
    <row r="102" spans="1:14" ht="29.4" customHeight="1" thickBot="1">
      <c r="A102" s="82" t="s">
        <v>233</v>
      </c>
      <c r="B102" s="83">
        <v>45534</v>
      </c>
      <c r="C102" s="82" t="s">
        <v>234</v>
      </c>
      <c r="D102" s="82" t="s">
        <v>235</v>
      </c>
      <c r="E102" s="82" t="s">
        <v>80</v>
      </c>
      <c r="F102" s="82" t="s">
        <v>81</v>
      </c>
      <c r="G102" s="82" t="s">
        <v>19</v>
      </c>
      <c r="H102" s="84">
        <v>2</v>
      </c>
      <c r="I102" s="84">
        <v>699.99</v>
      </c>
      <c r="J102" s="82" t="s">
        <v>26</v>
      </c>
      <c r="K102" s="82" t="s">
        <v>40</v>
      </c>
      <c r="L102" s="82" t="s">
        <v>27</v>
      </c>
      <c r="M102" s="83">
        <v>44421</v>
      </c>
      <c r="N102" s="84">
        <v>1399.98</v>
      </c>
    </row>
    <row r="103" spans="1:14" ht="29.4" customHeight="1" thickBot="1">
      <c r="A103" s="82" t="s">
        <v>236</v>
      </c>
      <c r="B103" s="83">
        <v>45537</v>
      </c>
      <c r="C103" s="82" t="s">
        <v>231</v>
      </c>
      <c r="D103" s="82" t="s">
        <v>232</v>
      </c>
      <c r="E103" s="82" t="s">
        <v>17</v>
      </c>
      <c r="F103" s="82" t="s">
        <v>18</v>
      </c>
      <c r="G103" s="82" t="s">
        <v>19</v>
      </c>
      <c r="H103" s="84">
        <v>1</v>
      </c>
      <c r="I103" s="84">
        <v>249.99</v>
      </c>
      <c r="J103" s="82" t="s">
        <v>26</v>
      </c>
      <c r="K103" s="82" t="s">
        <v>50</v>
      </c>
      <c r="L103" s="82" t="s">
        <v>27</v>
      </c>
      <c r="M103" s="83">
        <v>44685</v>
      </c>
      <c r="N103" s="84">
        <v>249.99</v>
      </c>
    </row>
    <row r="104" spans="1:14" ht="29.4" customHeight="1" thickBot="1">
      <c r="A104" s="82" t="s">
        <v>237</v>
      </c>
      <c r="B104" s="83">
        <v>45537</v>
      </c>
      <c r="C104" s="82" t="s">
        <v>15</v>
      </c>
      <c r="D104" s="82" t="s">
        <v>16</v>
      </c>
      <c r="E104" s="82" t="s">
        <v>17</v>
      </c>
      <c r="F104" s="82" t="s">
        <v>18</v>
      </c>
      <c r="G104" s="82" t="s">
        <v>19</v>
      </c>
      <c r="H104" s="84">
        <v>1</v>
      </c>
      <c r="I104" s="84">
        <v>249.99</v>
      </c>
      <c r="J104" s="82" t="s">
        <v>57</v>
      </c>
      <c r="K104" s="82" t="s">
        <v>40</v>
      </c>
      <c r="L104" s="82" t="s">
        <v>27</v>
      </c>
      <c r="M104" s="83">
        <v>45332</v>
      </c>
      <c r="N104" s="84">
        <v>249.99</v>
      </c>
    </row>
    <row r="105" spans="1:14" ht="29.4" customHeight="1" thickBot="1">
      <c r="A105" s="82" t="s">
        <v>238</v>
      </c>
      <c r="B105" s="83">
        <v>45538</v>
      </c>
      <c r="C105" s="82" t="s">
        <v>226</v>
      </c>
      <c r="D105" s="82" t="s">
        <v>227</v>
      </c>
      <c r="E105" s="82" t="s">
        <v>80</v>
      </c>
      <c r="F105" s="82" t="s">
        <v>81</v>
      </c>
      <c r="G105" s="82" t="s">
        <v>19</v>
      </c>
      <c r="H105" s="84">
        <v>2</v>
      </c>
      <c r="I105" s="84">
        <v>699.99</v>
      </c>
      <c r="J105" s="82" t="s">
        <v>57</v>
      </c>
      <c r="K105" s="82" t="s">
        <v>21</v>
      </c>
      <c r="L105" s="82" t="s">
        <v>27</v>
      </c>
      <c r="M105" s="83">
        <v>44870</v>
      </c>
      <c r="N105" s="84">
        <v>1399.98</v>
      </c>
    </row>
    <row r="106" spans="1:14" ht="29.4" customHeight="1" thickBot="1">
      <c r="A106" s="82" t="s">
        <v>239</v>
      </c>
      <c r="B106" s="83">
        <v>45541</v>
      </c>
      <c r="C106" s="82" t="s">
        <v>138</v>
      </c>
      <c r="D106" s="82" t="s">
        <v>139</v>
      </c>
      <c r="E106" s="82" t="s">
        <v>31</v>
      </c>
      <c r="F106" s="82" t="s">
        <v>32</v>
      </c>
      <c r="G106" s="82" t="s">
        <v>33</v>
      </c>
      <c r="H106" s="84">
        <v>3</v>
      </c>
      <c r="I106" s="84">
        <v>59.99</v>
      </c>
      <c r="J106" s="82" t="s">
        <v>26</v>
      </c>
      <c r="K106" s="82" t="s">
        <v>21</v>
      </c>
      <c r="L106" s="82" t="s">
        <v>27</v>
      </c>
      <c r="M106" s="83">
        <v>44717</v>
      </c>
      <c r="N106" s="84">
        <v>179.97</v>
      </c>
    </row>
    <row r="107" spans="1:14" ht="29.4" customHeight="1" thickBot="1">
      <c r="A107" s="82" t="s">
        <v>240</v>
      </c>
      <c r="B107" s="83">
        <v>45544</v>
      </c>
      <c r="C107" s="82" t="s">
        <v>132</v>
      </c>
      <c r="D107" s="82" t="s">
        <v>133</v>
      </c>
      <c r="E107" s="82" t="s">
        <v>31</v>
      </c>
      <c r="F107" s="82" t="s">
        <v>32</v>
      </c>
      <c r="G107" s="82" t="s">
        <v>33</v>
      </c>
      <c r="H107" s="84">
        <v>3</v>
      </c>
      <c r="I107" s="84">
        <v>59.99</v>
      </c>
      <c r="J107" s="82" t="s">
        <v>34</v>
      </c>
      <c r="K107" s="82" t="s">
        <v>63</v>
      </c>
      <c r="L107" s="82" t="s">
        <v>36</v>
      </c>
      <c r="M107" s="83">
        <v>44748</v>
      </c>
      <c r="N107" s="84">
        <v>179.97</v>
      </c>
    </row>
    <row r="108" spans="1:14" ht="29.4" customHeight="1" thickBot="1">
      <c r="A108" s="82" t="s">
        <v>241</v>
      </c>
      <c r="B108" s="83">
        <v>45544</v>
      </c>
      <c r="C108" s="82" t="s">
        <v>141</v>
      </c>
      <c r="D108" s="82" t="s">
        <v>142</v>
      </c>
      <c r="E108" s="82" t="s">
        <v>114</v>
      </c>
      <c r="F108" s="82" t="s">
        <v>115</v>
      </c>
      <c r="G108" s="82" t="s">
        <v>33</v>
      </c>
      <c r="H108" s="84">
        <v>4</v>
      </c>
      <c r="I108" s="84">
        <v>79.989999999999995</v>
      </c>
      <c r="J108" s="82" t="s">
        <v>20</v>
      </c>
      <c r="K108" s="82" t="s">
        <v>40</v>
      </c>
      <c r="L108" s="82" t="s">
        <v>22</v>
      </c>
      <c r="M108" s="83">
        <v>44530</v>
      </c>
      <c r="N108" s="84">
        <v>319.95999999999998</v>
      </c>
    </row>
    <row r="109" spans="1:14" ht="29.4" customHeight="1" thickBot="1">
      <c r="A109" s="82" t="s">
        <v>242</v>
      </c>
      <c r="B109" s="83">
        <v>45545</v>
      </c>
      <c r="C109" s="82" t="s">
        <v>55</v>
      </c>
      <c r="D109" s="82" t="s">
        <v>56</v>
      </c>
      <c r="E109" s="82" t="s">
        <v>114</v>
      </c>
      <c r="F109" s="82" t="s">
        <v>115</v>
      </c>
      <c r="G109" s="82" t="s">
        <v>33</v>
      </c>
      <c r="H109" s="84">
        <v>1</v>
      </c>
      <c r="I109" s="84">
        <v>79.989999999999995</v>
      </c>
      <c r="J109" s="82" t="s">
        <v>20</v>
      </c>
      <c r="K109" s="82" t="s">
        <v>50</v>
      </c>
      <c r="L109" s="82" t="s">
        <v>22</v>
      </c>
      <c r="M109" s="83">
        <v>44693</v>
      </c>
      <c r="N109" s="84">
        <v>79.989999999999995</v>
      </c>
    </row>
    <row r="110" spans="1:14" ht="29.4" customHeight="1" thickBot="1">
      <c r="A110" s="82" t="s">
        <v>243</v>
      </c>
      <c r="B110" s="83">
        <v>45547</v>
      </c>
      <c r="C110" s="82" t="s">
        <v>48</v>
      </c>
      <c r="D110" s="82" t="s">
        <v>49</v>
      </c>
      <c r="E110" s="82" t="s">
        <v>105</v>
      </c>
      <c r="F110" s="82" t="s">
        <v>106</v>
      </c>
      <c r="G110" s="82" t="s">
        <v>46</v>
      </c>
      <c r="H110" s="84">
        <v>3</v>
      </c>
      <c r="I110" s="84">
        <v>299.99</v>
      </c>
      <c r="J110" s="82" t="s">
        <v>26</v>
      </c>
      <c r="K110" s="82" t="s">
        <v>21</v>
      </c>
      <c r="L110" s="82" t="s">
        <v>27</v>
      </c>
      <c r="M110" s="83">
        <v>44494</v>
      </c>
      <c r="N110" s="84">
        <v>899.97</v>
      </c>
    </row>
    <row r="111" spans="1:14" ht="29.4" customHeight="1" thickBot="1">
      <c r="A111" s="82" t="s">
        <v>244</v>
      </c>
      <c r="B111" s="83">
        <v>45548</v>
      </c>
      <c r="C111" s="82" t="s">
        <v>38</v>
      </c>
      <c r="D111" s="82" t="s">
        <v>39</v>
      </c>
      <c r="E111" s="82" t="s">
        <v>117</v>
      </c>
      <c r="F111" s="82" t="s">
        <v>118</v>
      </c>
      <c r="G111" s="82" t="s">
        <v>19</v>
      </c>
      <c r="H111" s="84">
        <v>2</v>
      </c>
      <c r="I111" s="84">
        <v>89.99</v>
      </c>
      <c r="J111" s="82" t="s">
        <v>26</v>
      </c>
      <c r="K111" s="82" t="s">
        <v>35</v>
      </c>
      <c r="L111" s="82" t="s">
        <v>27</v>
      </c>
      <c r="M111" s="83">
        <v>44641</v>
      </c>
      <c r="N111" s="84">
        <v>179.98</v>
      </c>
    </row>
    <row r="112" spans="1:14" ht="29.4" customHeight="1" thickBot="1">
      <c r="A112" s="82" t="s">
        <v>245</v>
      </c>
      <c r="B112" s="83">
        <v>45550</v>
      </c>
      <c r="C112" s="82" t="s">
        <v>246</v>
      </c>
      <c r="D112" s="82" t="s">
        <v>247</v>
      </c>
      <c r="E112" s="82" t="s">
        <v>52</v>
      </c>
      <c r="F112" s="82" t="s">
        <v>53</v>
      </c>
      <c r="G112" s="82" t="s">
        <v>19</v>
      </c>
      <c r="H112" s="84">
        <v>4</v>
      </c>
      <c r="I112" s="84">
        <v>149.99</v>
      </c>
      <c r="J112" s="82" t="s">
        <v>20</v>
      </c>
      <c r="K112" s="82" t="s">
        <v>40</v>
      </c>
      <c r="L112" s="82" t="s">
        <v>22</v>
      </c>
      <c r="M112" s="83">
        <v>44909</v>
      </c>
      <c r="N112" s="84">
        <v>599.96</v>
      </c>
    </row>
    <row r="113" spans="1:14" ht="29.4" customHeight="1" thickBot="1">
      <c r="A113" s="82" t="s">
        <v>248</v>
      </c>
      <c r="B113" s="83">
        <v>45551</v>
      </c>
      <c r="C113" s="82" t="s">
        <v>65</v>
      </c>
      <c r="D113" s="82" t="s">
        <v>66</v>
      </c>
      <c r="E113" s="82" t="s">
        <v>17</v>
      </c>
      <c r="F113" s="82" t="s">
        <v>18</v>
      </c>
      <c r="G113" s="82" t="s">
        <v>19</v>
      </c>
      <c r="H113" s="84">
        <v>2</v>
      </c>
      <c r="I113" s="84">
        <v>249.99</v>
      </c>
      <c r="J113" s="82" t="s">
        <v>34</v>
      </c>
      <c r="K113" s="82" t="s">
        <v>35</v>
      </c>
      <c r="L113" s="82" t="s">
        <v>22</v>
      </c>
      <c r="M113" s="83">
        <v>44993</v>
      </c>
      <c r="N113" s="84">
        <v>499.98</v>
      </c>
    </row>
    <row r="114" spans="1:14" ht="29.4" customHeight="1" thickBot="1">
      <c r="A114" s="82" t="s">
        <v>249</v>
      </c>
      <c r="B114" s="83">
        <v>45551</v>
      </c>
      <c r="C114" s="82" t="s">
        <v>154</v>
      </c>
      <c r="D114" s="82" t="s">
        <v>155</v>
      </c>
      <c r="E114" s="82" t="s">
        <v>126</v>
      </c>
      <c r="F114" s="82" t="s">
        <v>127</v>
      </c>
      <c r="G114" s="82" t="s">
        <v>46</v>
      </c>
      <c r="H114" s="84">
        <v>4</v>
      </c>
      <c r="I114" s="84">
        <v>199.99</v>
      </c>
      <c r="J114" s="82" t="s">
        <v>57</v>
      </c>
      <c r="K114" s="82" t="s">
        <v>63</v>
      </c>
      <c r="L114" s="82" t="s">
        <v>22</v>
      </c>
      <c r="M114" s="83">
        <v>44458</v>
      </c>
      <c r="N114" s="84">
        <v>799.96</v>
      </c>
    </row>
    <row r="115" spans="1:14" ht="29.4" customHeight="1" thickBot="1">
      <c r="A115" s="82" t="s">
        <v>250</v>
      </c>
      <c r="B115" s="83">
        <v>45554</v>
      </c>
      <c r="C115" s="82" t="s">
        <v>147</v>
      </c>
      <c r="D115" s="82" t="s">
        <v>148</v>
      </c>
      <c r="E115" s="82" t="s">
        <v>117</v>
      </c>
      <c r="F115" s="82" t="s">
        <v>118</v>
      </c>
      <c r="G115" s="82" t="s">
        <v>19</v>
      </c>
      <c r="H115" s="84">
        <v>5</v>
      </c>
      <c r="I115" s="84">
        <v>89.99</v>
      </c>
      <c r="J115" s="82" t="s">
        <v>26</v>
      </c>
      <c r="K115" s="82" t="s">
        <v>63</v>
      </c>
      <c r="L115" s="82" t="s">
        <v>27</v>
      </c>
      <c r="M115" s="83">
        <v>44446</v>
      </c>
      <c r="N115" s="84">
        <v>449.95</v>
      </c>
    </row>
    <row r="116" spans="1:14" ht="29.4" customHeight="1" thickBot="1">
      <c r="A116" s="82" t="s">
        <v>251</v>
      </c>
      <c r="B116" s="83">
        <v>45554</v>
      </c>
      <c r="C116" s="82" t="s">
        <v>252</v>
      </c>
      <c r="D116" s="82" t="s">
        <v>253</v>
      </c>
      <c r="E116" s="82" t="s">
        <v>52</v>
      </c>
      <c r="F116" s="82" t="s">
        <v>53</v>
      </c>
      <c r="G116" s="82" t="s">
        <v>19</v>
      </c>
      <c r="H116" s="84">
        <v>1</v>
      </c>
      <c r="I116" s="84">
        <v>149.99</v>
      </c>
      <c r="J116" s="82" t="s">
        <v>34</v>
      </c>
      <c r="K116" s="82" t="s">
        <v>63</v>
      </c>
      <c r="L116" s="82" t="s">
        <v>36</v>
      </c>
      <c r="M116" s="83">
        <v>44482</v>
      </c>
      <c r="N116" s="84">
        <v>149.99</v>
      </c>
    </row>
    <row r="117" spans="1:14" ht="43.8" customHeight="1" thickBot="1">
      <c r="A117" s="82" t="s">
        <v>254</v>
      </c>
      <c r="B117" s="83">
        <v>45554</v>
      </c>
      <c r="C117" s="82" t="s">
        <v>72</v>
      </c>
      <c r="D117" s="82" t="s">
        <v>73</v>
      </c>
      <c r="E117" s="82" t="s">
        <v>80</v>
      </c>
      <c r="F117" s="82" t="s">
        <v>81</v>
      </c>
      <c r="G117" s="82" t="s">
        <v>19</v>
      </c>
      <c r="H117" s="84">
        <v>4</v>
      </c>
      <c r="I117" s="84">
        <v>699.99</v>
      </c>
      <c r="J117" s="82" t="s">
        <v>34</v>
      </c>
      <c r="K117" s="82" t="s">
        <v>35</v>
      </c>
      <c r="L117" s="82" t="s">
        <v>22</v>
      </c>
      <c r="M117" s="83">
        <v>44618</v>
      </c>
      <c r="N117" s="84">
        <v>2799.96</v>
      </c>
    </row>
    <row r="118" spans="1:14" ht="29.4" customHeight="1" thickBot="1">
      <c r="A118" s="82" t="s">
        <v>255</v>
      </c>
      <c r="B118" s="83">
        <v>45559</v>
      </c>
      <c r="C118" s="82" t="s">
        <v>234</v>
      </c>
      <c r="D118" s="82" t="s">
        <v>235</v>
      </c>
      <c r="E118" s="82" t="s">
        <v>61</v>
      </c>
      <c r="F118" s="82" t="s">
        <v>62</v>
      </c>
      <c r="G118" s="82" t="s">
        <v>19</v>
      </c>
      <c r="H118" s="84">
        <v>3</v>
      </c>
      <c r="I118" s="84">
        <v>899.99</v>
      </c>
      <c r="J118" s="82" t="s">
        <v>26</v>
      </c>
      <c r="K118" s="82" t="s">
        <v>40</v>
      </c>
      <c r="L118" s="82" t="s">
        <v>36</v>
      </c>
      <c r="M118" s="83">
        <v>45157</v>
      </c>
      <c r="N118" s="84">
        <v>2699.97</v>
      </c>
    </row>
    <row r="119" spans="1:14" ht="29.4" customHeight="1" thickBot="1">
      <c r="A119" s="82" t="s">
        <v>256</v>
      </c>
      <c r="B119" s="83">
        <v>45560</v>
      </c>
      <c r="C119" s="82" t="s">
        <v>112</v>
      </c>
      <c r="D119" s="82" t="s">
        <v>113</v>
      </c>
      <c r="E119" s="82" t="s">
        <v>44</v>
      </c>
      <c r="F119" s="82" t="s">
        <v>45</v>
      </c>
      <c r="G119" s="82" t="s">
        <v>46</v>
      </c>
      <c r="H119" s="84">
        <v>3</v>
      </c>
      <c r="I119" s="84">
        <v>149.99</v>
      </c>
      <c r="J119" s="82" t="s">
        <v>34</v>
      </c>
      <c r="K119" s="82" t="s">
        <v>63</v>
      </c>
      <c r="L119" s="82" t="s">
        <v>22</v>
      </c>
      <c r="M119" s="83">
        <v>44886</v>
      </c>
      <c r="N119" s="84">
        <v>449.97</v>
      </c>
    </row>
    <row r="120" spans="1:14" ht="29.4" customHeight="1" thickBot="1">
      <c r="A120" s="82" t="s">
        <v>257</v>
      </c>
      <c r="B120" s="83">
        <v>45563</v>
      </c>
      <c r="C120" s="82" t="s">
        <v>99</v>
      </c>
      <c r="D120" s="82" t="s">
        <v>100</v>
      </c>
      <c r="E120" s="82" t="s">
        <v>105</v>
      </c>
      <c r="F120" s="82" t="s">
        <v>106</v>
      </c>
      <c r="G120" s="82" t="s">
        <v>46</v>
      </c>
      <c r="H120" s="84">
        <v>2</v>
      </c>
      <c r="I120" s="84">
        <v>299.99</v>
      </c>
      <c r="J120" s="82" t="s">
        <v>57</v>
      </c>
      <c r="K120" s="82" t="s">
        <v>21</v>
      </c>
      <c r="L120" s="82" t="s">
        <v>22</v>
      </c>
      <c r="M120" s="83">
        <v>44569</v>
      </c>
      <c r="N120" s="84">
        <v>599.98</v>
      </c>
    </row>
    <row r="121" spans="1:14" ht="29.4" customHeight="1" thickBot="1">
      <c r="A121" s="82" t="s">
        <v>258</v>
      </c>
      <c r="B121" s="83">
        <v>45564</v>
      </c>
      <c r="C121" s="82" t="s">
        <v>259</v>
      </c>
      <c r="D121" s="82" t="s">
        <v>260</v>
      </c>
      <c r="E121" s="82" t="s">
        <v>126</v>
      </c>
      <c r="F121" s="82" t="s">
        <v>127</v>
      </c>
      <c r="G121" s="82" t="s">
        <v>46</v>
      </c>
      <c r="H121" s="84">
        <v>1</v>
      </c>
      <c r="I121" s="84">
        <v>199.99</v>
      </c>
      <c r="J121" s="82" t="s">
        <v>57</v>
      </c>
      <c r="K121" s="82" t="s">
        <v>63</v>
      </c>
      <c r="L121" s="82" t="s">
        <v>36</v>
      </c>
      <c r="M121" s="83">
        <v>44953</v>
      </c>
      <c r="N121" s="84">
        <v>199.99</v>
      </c>
    </row>
    <row r="122" spans="1:14" ht="29.4" customHeight="1" thickBot="1">
      <c r="A122" s="82" t="s">
        <v>261</v>
      </c>
      <c r="B122" s="83">
        <v>45566</v>
      </c>
      <c r="C122" s="82" t="s">
        <v>42</v>
      </c>
      <c r="D122" s="82" t="s">
        <v>43</v>
      </c>
      <c r="E122" s="82" t="s">
        <v>105</v>
      </c>
      <c r="F122" s="82" t="s">
        <v>106</v>
      </c>
      <c r="G122" s="82" t="s">
        <v>46</v>
      </c>
      <c r="H122" s="84">
        <v>4</v>
      </c>
      <c r="I122" s="84">
        <v>299.99</v>
      </c>
      <c r="J122" s="82" t="s">
        <v>20</v>
      </c>
      <c r="K122" s="82" t="s">
        <v>21</v>
      </c>
      <c r="L122" s="82" t="s">
        <v>27</v>
      </c>
      <c r="M122" s="83">
        <v>44460</v>
      </c>
      <c r="N122" s="84">
        <v>1199.96</v>
      </c>
    </row>
    <row r="123" spans="1:14" ht="29.4" customHeight="1" thickBot="1">
      <c r="A123" s="82" t="s">
        <v>262</v>
      </c>
      <c r="B123" s="83">
        <v>45572</v>
      </c>
      <c r="C123" s="82" t="s">
        <v>89</v>
      </c>
      <c r="D123" s="82" t="s">
        <v>90</v>
      </c>
      <c r="E123" s="82" t="s">
        <v>31</v>
      </c>
      <c r="F123" s="82" t="s">
        <v>32</v>
      </c>
      <c r="G123" s="82" t="s">
        <v>33</v>
      </c>
      <c r="H123" s="84">
        <v>2</v>
      </c>
      <c r="I123" s="84">
        <v>59.99</v>
      </c>
      <c r="J123" s="82" t="s">
        <v>26</v>
      </c>
      <c r="K123" s="82" t="s">
        <v>21</v>
      </c>
      <c r="L123" s="82" t="s">
        <v>22</v>
      </c>
      <c r="M123" s="83">
        <v>44579</v>
      </c>
      <c r="N123" s="84">
        <v>119.98</v>
      </c>
    </row>
    <row r="124" spans="1:14" ht="29.4" customHeight="1" thickBot="1">
      <c r="A124" s="82" t="s">
        <v>263</v>
      </c>
      <c r="B124" s="83">
        <v>45572</v>
      </c>
      <c r="C124" s="82" t="s">
        <v>234</v>
      </c>
      <c r="D124" s="82" t="s">
        <v>235</v>
      </c>
      <c r="E124" s="82" t="s">
        <v>52</v>
      </c>
      <c r="F124" s="82" t="s">
        <v>53</v>
      </c>
      <c r="G124" s="82" t="s">
        <v>19</v>
      </c>
      <c r="H124" s="84">
        <v>4</v>
      </c>
      <c r="I124" s="84">
        <v>149.99</v>
      </c>
      <c r="J124" s="82" t="s">
        <v>26</v>
      </c>
      <c r="K124" s="82" t="s">
        <v>40</v>
      </c>
      <c r="L124" s="82" t="s">
        <v>27</v>
      </c>
      <c r="M124" s="83">
        <v>45076</v>
      </c>
      <c r="N124" s="84">
        <v>599.96</v>
      </c>
    </row>
    <row r="125" spans="1:14" ht="29.4" customHeight="1" thickBot="1">
      <c r="A125" s="82" t="s">
        <v>264</v>
      </c>
      <c r="B125" s="83">
        <v>45573</v>
      </c>
      <c r="C125" s="82" t="s">
        <v>211</v>
      </c>
      <c r="D125" s="82" t="s">
        <v>212</v>
      </c>
      <c r="E125" s="82" t="s">
        <v>80</v>
      </c>
      <c r="F125" s="82" t="s">
        <v>81</v>
      </c>
      <c r="G125" s="82" t="s">
        <v>19</v>
      </c>
      <c r="H125" s="84">
        <v>2</v>
      </c>
      <c r="I125" s="84">
        <v>699.99</v>
      </c>
      <c r="J125" s="82" t="s">
        <v>57</v>
      </c>
      <c r="K125" s="82" t="s">
        <v>63</v>
      </c>
      <c r="L125" s="82" t="s">
        <v>27</v>
      </c>
      <c r="M125" s="83">
        <v>45274</v>
      </c>
      <c r="N125" s="84">
        <v>1399.98</v>
      </c>
    </row>
    <row r="126" spans="1:14" ht="29.4" customHeight="1" thickBot="1">
      <c r="A126" s="82" t="s">
        <v>265</v>
      </c>
      <c r="B126" s="83">
        <v>45573</v>
      </c>
      <c r="C126" s="82" t="s">
        <v>231</v>
      </c>
      <c r="D126" s="82" t="s">
        <v>232</v>
      </c>
      <c r="E126" s="82" t="s">
        <v>44</v>
      </c>
      <c r="F126" s="82" t="s">
        <v>45</v>
      </c>
      <c r="G126" s="82" t="s">
        <v>46</v>
      </c>
      <c r="H126" s="84">
        <v>3</v>
      </c>
      <c r="I126" s="84">
        <v>149.99</v>
      </c>
      <c r="J126" s="82" t="s">
        <v>26</v>
      </c>
      <c r="K126" s="82" t="s">
        <v>35</v>
      </c>
      <c r="L126" s="82" t="s">
        <v>36</v>
      </c>
      <c r="M126" s="83">
        <v>44940</v>
      </c>
      <c r="N126" s="84">
        <v>449.97</v>
      </c>
    </row>
    <row r="127" spans="1:14" ht="29.4" customHeight="1" thickBot="1">
      <c r="A127" s="82" t="s">
        <v>266</v>
      </c>
      <c r="B127" s="83">
        <v>45576</v>
      </c>
      <c r="C127" s="82" t="s">
        <v>147</v>
      </c>
      <c r="D127" s="82" t="s">
        <v>148</v>
      </c>
      <c r="E127" s="82" t="s">
        <v>105</v>
      </c>
      <c r="F127" s="82" t="s">
        <v>106</v>
      </c>
      <c r="G127" s="82" t="s">
        <v>46</v>
      </c>
      <c r="H127" s="84">
        <v>3</v>
      </c>
      <c r="I127" s="84">
        <v>299.99</v>
      </c>
      <c r="J127" s="82" t="s">
        <v>26</v>
      </c>
      <c r="K127" s="82" t="s">
        <v>21</v>
      </c>
      <c r="L127" s="82" t="s">
        <v>36</v>
      </c>
      <c r="M127" s="83">
        <v>45174</v>
      </c>
      <c r="N127" s="84">
        <v>899.97</v>
      </c>
    </row>
    <row r="128" spans="1:14" ht="29.4" customHeight="1" thickBot="1">
      <c r="A128" s="82" t="s">
        <v>267</v>
      </c>
      <c r="B128" s="83">
        <v>45579</v>
      </c>
      <c r="C128" s="82" t="s">
        <v>83</v>
      </c>
      <c r="D128" s="82" t="s">
        <v>84</v>
      </c>
      <c r="E128" s="82" t="s">
        <v>61</v>
      </c>
      <c r="F128" s="82" t="s">
        <v>62</v>
      </c>
      <c r="G128" s="82" t="s">
        <v>19</v>
      </c>
      <c r="H128" s="84">
        <v>3</v>
      </c>
      <c r="I128" s="84">
        <v>899.99</v>
      </c>
      <c r="J128" s="82" t="s">
        <v>34</v>
      </c>
      <c r="K128" s="82" t="s">
        <v>50</v>
      </c>
      <c r="L128" s="82" t="s">
        <v>22</v>
      </c>
      <c r="M128" s="83">
        <v>45215</v>
      </c>
      <c r="N128" s="84">
        <v>2699.97</v>
      </c>
    </row>
    <row r="129" spans="1:14" ht="29.4" customHeight="1" thickBot="1">
      <c r="A129" s="82" t="s">
        <v>268</v>
      </c>
      <c r="B129" s="83">
        <v>45581</v>
      </c>
      <c r="C129" s="82" t="s">
        <v>96</v>
      </c>
      <c r="D129" s="82" t="s">
        <v>97</v>
      </c>
      <c r="E129" s="82" t="s">
        <v>80</v>
      </c>
      <c r="F129" s="82" t="s">
        <v>81</v>
      </c>
      <c r="G129" s="82" t="s">
        <v>19</v>
      </c>
      <c r="H129" s="84">
        <v>5</v>
      </c>
      <c r="I129" s="84">
        <v>699.99</v>
      </c>
      <c r="J129" s="82" t="s">
        <v>20</v>
      </c>
      <c r="K129" s="82" t="s">
        <v>63</v>
      </c>
      <c r="L129" s="82" t="s">
        <v>36</v>
      </c>
      <c r="M129" s="83">
        <v>45008</v>
      </c>
      <c r="N129" s="84">
        <v>3499.95</v>
      </c>
    </row>
    <row r="130" spans="1:14" ht="29.4" customHeight="1" thickBot="1">
      <c r="A130" s="82" t="s">
        <v>269</v>
      </c>
      <c r="B130" s="83">
        <v>45581</v>
      </c>
      <c r="C130" s="82" t="s">
        <v>171</v>
      </c>
      <c r="D130" s="82" t="s">
        <v>172</v>
      </c>
      <c r="E130" s="82" t="s">
        <v>80</v>
      </c>
      <c r="F130" s="82" t="s">
        <v>81</v>
      </c>
      <c r="G130" s="82" t="s">
        <v>19</v>
      </c>
      <c r="H130" s="84">
        <v>4</v>
      </c>
      <c r="I130" s="84">
        <v>699.99</v>
      </c>
      <c r="J130" s="82" t="s">
        <v>26</v>
      </c>
      <c r="K130" s="82" t="s">
        <v>21</v>
      </c>
      <c r="L130" s="82" t="s">
        <v>22</v>
      </c>
      <c r="M130" s="83">
        <v>45385</v>
      </c>
      <c r="N130" s="84">
        <v>2799.96</v>
      </c>
    </row>
    <row r="131" spans="1:14" ht="29.4" customHeight="1" thickBot="1">
      <c r="A131" s="82" t="s">
        <v>270</v>
      </c>
      <c r="B131" s="83">
        <v>45581</v>
      </c>
      <c r="C131" s="82" t="s">
        <v>150</v>
      </c>
      <c r="D131" s="82" t="s">
        <v>151</v>
      </c>
      <c r="E131" s="82" t="s">
        <v>61</v>
      </c>
      <c r="F131" s="82" t="s">
        <v>62</v>
      </c>
      <c r="G131" s="82" t="s">
        <v>19</v>
      </c>
      <c r="H131" s="84">
        <v>1</v>
      </c>
      <c r="I131" s="84">
        <v>899.99</v>
      </c>
      <c r="J131" s="82" t="s">
        <v>26</v>
      </c>
      <c r="K131" s="82" t="s">
        <v>63</v>
      </c>
      <c r="L131" s="82" t="s">
        <v>36</v>
      </c>
      <c r="M131" s="83">
        <v>45369</v>
      </c>
      <c r="N131" s="84">
        <v>899.99</v>
      </c>
    </row>
    <row r="132" spans="1:14" ht="29.4" customHeight="1" thickBot="1">
      <c r="A132" s="82" t="s">
        <v>271</v>
      </c>
      <c r="B132" s="83">
        <v>45583</v>
      </c>
      <c r="C132" s="82" t="s">
        <v>226</v>
      </c>
      <c r="D132" s="82" t="s">
        <v>227</v>
      </c>
      <c r="E132" s="82" t="s">
        <v>52</v>
      </c>
      <c r="F132" s="82" t="s">
        <v>53</v>
      </c>
      <c r="G132" s="82" t="s">
        <v>19</v>
      </c>
      <c r="H132" s="84">
        <v>2</v>
      </c>
      <c r="I132" s="84">
        <v>149.99</v>
      </c>
      <c r="J132" s="82" t="s">
        <v>26</v>
      </c>
      <c r="K132" s="82" t="s">
        <v>50</v>
      </c>
      <c r="L132" s="82" t="s">
        <v>22</v>
      </c>
      <c r="M132" s="83">
        <v>44916</v>
      </c>
      <c r="N132" s="84">
        <v>299.98</v>
      </c>
    </row>
    <row r="133" spans="1:14" ht="29.4" customHeight="1" thickBot="1">
      <c r="A133" s="82" t="s">
        <v>272</v>
      </c>
      <c r="B133" s="83">
        <v>45586</v>
      </c>
      <c r="C133" s="82" t="s">
        <v>226</v>
      </c>
      <c r="D133" s="82" t="s">
        <v>227</v>
      </c>
      <c r="E133" s="82" t="s">
        <v>117</v>
      </c>
      <c r="F133" s="82" t="s">
        <v>118</v>
      </c>
      <c r="G133" s="82" t="s">
        <v>19</v>
      </c>
      <c r="H133" s="84">
        <v>3</v>
      </c>
      <c r="I133" s="84">
        <v>89.99</v>
      </c>
      <c r="J133" s="82" t="s">
        <v>34</v>
      </c>
      <c r="K133" s="82" t="s">
        <v>21</v>
      </c>
      <c r="L133" s="82" t="s">
        <v>22</v>
      </c>
      <c r="M133" s="83">
        <v>44551</v>
      </c>
      <c r="N133" s="84">
        <v>269.97000000000003</v>
      </c>
    </row>
    <row r="134" spans="1:14" ht="29.4" customHeight="1" thickBot="1">
      <c r="A134" s="82" t="s">
        <v>273</v>
      </c>
      <c r="B134" s="83">
        <v>45588</v>
      </c>
      <c r="C134" s="82" t="s">
        <v>38</v>
      </c>
      <c r="D134" s="82" t="s">
        <v>39</v>
      </c>
      <c r="E134" s="82" t="s">
        <v>52</v>
      </c>
      <c r="F134" s="82" t="s">
        <v>53</v>
      </c>
      <c r="G134" s="82" t="s">
        <v>19</v>
      </c>
      <c r="H134" s="84">
        <v>2</v>
      </c>
      <c r="I134" s="84">
        <v>149.99</v>
      </c>
      <c r="J134" s="82" t="s">
        <v>34</v>
      </c>
      <c r="K134" s="82" t="s">
        <v>21</v>
      </c>
      <c r="L134" s="82" t="s">
        <v>22</v>
      </c>
      <c r="M134" s="83">
        <v>44473</v>
      </c>
      <c r="N134" s="84">
        <v>299.98</v>
      </c>
    </row>
    <row r="135" spans="1:14" ht="29.4" customHeight="1" thickBot="1">
      <c r="A135" s="82" t="s">
        <v>274</v>
      </c>
      <c r="B135" s="83">
        <v>45588</v>
      </c>
      <c r="C135" s="82" t="s">
        <v>154</v>
      </c>
      <c r="D135" s="82" t="s">
        <v>155</v>
      </c>
      <c r="E135" s="82" t="s">
        <v>80</v>
      </c>
      <c r="F135" s="82" t="s">
        <v>81</v>
      </c>
      <c r="G135" s="82" t="s">
        <v>19</v>
      </c>
      <c r="H135" s="84">
        <v>2</v>
      </c>
      <c r="I135" s="84">
        <v>699.99</v>
      </c>
      <c r="J135" s="82" t="s">
        <v>20</v>
      </c>
      <c r="K135" s="82" t="s">
        <v>21</v>
      </c>
      <c r="L135" s="82" t="s">
        <v>22</v>
      </c>
      <c r="M135" s="83">
        <v>44992</v>
      </c>
      <c r="N135" s="84">
        <v>1399.98</v>
      </c>
    </row>
    <row r="136" spans="1:14" ht="29.4" customHeight="1" thickBot="1">
      <c r="A136" s="82" t="s">
        <v>275</v>
      </c>
      <c r="B136" s="83">
        <v>45589</v>
      </c>
      <c r="C136" s="82" t="s">
        <v>158</v>
      </c>
      <c r="D136" s="82" t="s">
        <v>159</v>
      </c>
      <c r="E136" s="82" t="s">
        <v>80</v>
      </c>
      <c r="F136" s="82" t="s">
        <v>81</v>
      </c>
      <c r="G136" s="82" t="s">
        <v>19</v>
      </c>
      <c r="H136" s="84">
        <v>5</v>
      </c>
      <c r="I136" s="84">
        <v>699.99</v>
      </c>
      <c r="J136" s="82" t="s">
        <v>20</v>
      </c>
      <c r="K136" s="82" t="s">
        <v>40</v>
      </c>
      <c r="L136" s="82" t="s">
        <v>27</v>
      </c>
      <c r="M136" s="83">
        <v>44635</v>
      </c>
      <c r="N136" s="84">
        <v>3499.95</v>
      </c>
    </row>
    <row r="137" spans="1:14" ht="29.4" customHeight="1" thickBot="1">
      <c r="A137" s="82" t="s">
        <v>276</v>
      </c>
      <c r="B137" s="83">
        <v>45592</v>
      </c>
      <c r="C137" s="82" t="s">
        <v>171</v>
      </c>
      <c r="D137" s="82" t="s">
        <v>172</v>
      </c>
      <c r="E137" s="82" t="s">
        <v>117</v>
      </c>
      <c r="F137" s="82" t="s">
        <v>118</v>
      </c>
      <c r="G137" s="82" t="s">
        <v>19</v>
      </c>
      <c r="H137" s="84">
        <v>3</v>
      </c>
      <c r="I137" s="84">
        <v>89.99</v>
      </c>
      <c r="J137" s="82" t="s">
        <v>26</v>
      </c>
      <c r="K137" s="82" t="s">
        <v>40</v>
      </c>
      <c r="L137" s="82" t="s">
        <v>36</v>
      </c>
      <c r="M137" s="83">
        <v>44615</v>
      </c>
      <c r="N137" s="84">
        <v>269.97000000000003</v>
      </c>
    </row>
    <row r="138" spans="1:14" ht="29.4" customHeight="1" thickBot="1">
      <c r="A138" s="82" t="s">
        <v>277</v>
      </c>
      <c r="B138" s="83">
        <v>45597</v>
      </c>
      <c r="C138" s="82" t="s">
        <v>15</v>
      </c>
      <c r="D138" s="82" t="s">
        <v>16</v>
      </c>
      <c r="E138" s="82" t="s">
        <v>17</v>
      </c>
      <c r="F138" s="82" t="s">
        <v>18</v>
      </c>
      <c r="G138" s="82" t="s">
        <v>19</v>
      </c>
      <c r="H138" s="84">
        <v>5</v>
      </c>
      <c r="I138" s="84">
        <v>249.99</v>
      </c>
      <c r="J138" s="82" t="s">
        <v>26</v>
      </c>
      <c r="K138" s="82" t="s">
        <v>35</v>
      </c>
      <c r="L138" s="82" t="s">
        <v>36</v>
      </c>
      <c r="M138" s="83">
        <v>44881</v>
      </c>
      <c r="N138" s="84">
        <v>1249.95</v>
      </c>
    </row>
    <row r="139" spans="1:14" ht="29.4" customHeight="1" thickBot="1">
      <c r="A139" s="82" t="s">
        <v>278</v>
      </c>
      <c r="B139" s="83">
        <v>45600</v>
      </c>
      <c r="C139" s="82" t="s">
        <v>65</v>
      </c>
      <c r="D139" s="82" t="s">
        <v>66</v>
      </c>
      <c r="E139" s="82" t="s">
        <v>105</v>
      </c>
      <c r="F139" s="82" t="s">
        <v>106</v>
      </c>
      <c r="G139" s="82" t="s">
        <v>46</v>
      </c>
      <c r="H139" s="84">
        <v>3</v>
      </c>
      <c r="I139" s="84">
        <v>299.99</v>
      </c>
      <c r="J139" s="82" t="s">
        <v>26</v>
      </c>
      <c r="K139" s="82" t="s">
        <v>35</v>
      </c>
      <c r="L139" s="82" t="s">
        <v>36</v>
      </c>
      <c r="M139" s="83">
        <v>44502</v>
      </c>
      <c r="N139" s="84">
        <v>899.97</v>
      </c>
    </row>
    <row r="140" spans="1:14" ht="29.4" customHeight="1" thickBot="1">
      <c r="A140" s="82" t="s">
        <v>279</v>
      </c>
      <c r="B140" s="83">
        <v>45603</v>
      </c>
      <c r="C140" s="82" t="s">
        <v>99</v>
      </c>
      <c r="D140" s="82" t="s">
        <v>100</v>
      </c>
      <c r="E140" s="82" t="s">
        <v>117</v>
      </c>
      <c r="F140" s="82" t="s">
        <v>118</v>
      </c>
      <c r="G140" s="82" t="s">
        <v>19</v>
      </c>
      <c r="H140" s="84">
        <v>3</v>
      </c>
      <c r="I140" s="84">
        <v>89.99</v>
      </c>
      <c r="J140" s="82" t="s">
        <v>26</v>
      </c>
      <c r="K140" s="82" t="s">
        <v>40</v>
      </c>
      <c r="L140" s="82" t="s">
        <v>27</v>
      </c>
      <c r="M140" s="83">
        <v>44420</v>
      </c>
      <c r="N140" s="84">
        <v>269.97000000000003</v>
      </c>
    </row>
    <row r="141" spans="1:14" ht="29.4" customHeight="1" thickBot="1">
      <c r="A141" s="82" t="s">
        <v>280</v>
      </c>
      <c r="B141" s="83">
        <v>45604</v>
      </c>
      <c r="C141" s="82" t="s">
        <v>89</v>
      </c>
      <c r="D141" s="82" t="s">
        <v>90</v>
      </c>
      <c r="E141" s="82" t="s">
        <v>44</v>
      </c>
      <c r="F141" s="82" t="s">
        <v>45</v>
      </c>
      <c r="G141" s="82" t="s">
        <v>46</v>
      </c>
      <c r="H141" s="84">
        <v>2</v>
      </c>
      <c r="I141" s="84">
        <v>149.99</v>
      </c>
      <c r="J141" s="82" t="s">
        <v>26</v>
      </c>
      <c r="K141" s="82" t="s">
        <v>50</v>
      </c>
      <c r="L141" s="82" t="s">
        <v>27</v>
      </c>
      <c r="M141" s="83">
        <v>44848</v>
      </c>
      <c r="N141" s="84">
        <v>299.98</v>
      </c>
    </row>
    <row r="142" spans="1:14" ht="29.4" customHeight="1" thickBot="1">
      <c r="A142" s="82" t="s">
        <v>281</v>
      </c>
      <c r="B142" s="83">
        <v>45605</v>
      </c>
      <c r="C142" s="82" t="s">
        <v>185</v>
      </c>
      <c r="D142" s="82" t="s">
        <v>186</v>
      </c>
      <c r="E142" s="82" t="s">
        <v>17</v>
      </c>
      <c r="F142" s="82" t="s">
        <v>18</v>
      </c>
      <c r="G142" s="82" t="s">
        <v>19</v>
      </c>
      <c r="H142" s="84">
        <v>1</v>
      </c>
      <c r="I142" s="84">
        <v>249.99</v>
      </c>
      <c r="J142" s="82" t="s">
        <v>26</v>
      </c>
      <c r="K142" s="82" t="s">
        <v>40</v>
      </c>
      <c r="L142" s="82" t="s">
        <v>27</v>
      </c>
      <c r="M142" s="83">
        <v>44828</v>
      </c>
      <c r="N142" s="84">
        <v>249.99</v>
      </c>
    </row>
    <row r="143" spans="1:14" ht="43.8" customHeight="1" thickBot="1">
      <c r="A143" s="82" t="s">
        <v>282</v>
      </c>
      <c r="B143" s="83">
        <v>45607</v>
      </c>
      <c r="C143" s="82" t="s">
        <v>72</v>
      </c>
      <c r="D143" s="82" t="s">
        <v>73</v>
      </c>
      <c r="E143" s="82" t="s">
        <v>52</v>
      </c>
      <c r="F143" s="82" t="s">
        <v>53</v>
      </c>
      <c r="G143" s="82" t="s">
        <v>19</v>
      </c>
      <c r="H143" s="84">
        <v>3</v>
      </c>
      <c r="I143" s="84">
        <v>149.99</v>
      </c>
      <c r="J143" s="82" t="s">
        <v>20</v>
      </c>
      <c r="K143" s="82" t="s">
        <v>40</v>
      </c>
      <c r="L143" s="82" t="s">
        <v>22</v>
      </c>
      <c r="M143" s="83">
        <v>44769</v>
      </c>
      <c r="N143" s="84">
        <v>449.97</v>
      </c>
    </row>
    <row r="144" spans="1:14" ht="29.4" customHeight="1" thickBot="1">
      <c r="A144" s="82" t="s">
        <v>283</v>
      </c>
      <c r="B144" s="83">
        <v>45607</v>
      </c>
      <c r="C144" s="82" t="s">
        <v>15</v>
      </c>
      <c r="D144" s="82" t="s">
        <v>16</v>
      </c>
      <c r="E144" s="82" t="s">
        <v>31</v>
      </c>
      <c r="F144" s="82" t="s">
        <v>32</v>
      </c>
      <c r="G144" s="82" t="s">
        <v>33</v>
      </c>
      <c r="H144" s="84">
        <v>5</v>
      </c>
      <c r="I144" s="84">
        <v>59.99</v>
      </c>
      <c r="J144" s="82" t="s">
        <v>34</v>
      </c>
      <c r="K144" s="82" t="s">
        <v>50</v>
      </c>
      <c r="L144" s="82" t="s">
        <v>27</v>
      </c>
      <c r="M144" s="83">
        <v>44694</v>
      </c>
      <c r="N144" s="84">
        <v>299.95</v>
      </c>
    </row>
    <row r="145" spans="1:14" ht="29.4" customHeight="1" thickBot="1">
      <c r="A145" s="82" t="s">
        <v>284</v>
      </c>
      <c r="B145" s="83">
        <v>45607</v>
      </c>
      <c r="C145" s="82" t="s">
        <v>99</v>
      </c>
      <c r="D145" s="82" t="s">
        <v>100</v>
      </c>
      <c r="E145" s="82" t="s">
        <v>17</v>
      </c>
      <c r="F145" s="82" t="s">
        <v>18</v>
      </c>
      <c r="G145" s="82" t="s">
        <v>19</v>
      </c>
      <c r="H145" s="84">
        <v>4</v>
      </c>
      <c r="I145" s="84">
        <v>249.99</v>
      </c>
      <c r="J145" s="82" t="s">
        <v>26</v>
      </c>
      <c r="K145" s="82" t="s">
        <v>50</v>
      </c>
      <c r="L145" s="82" t="s">
        <v>36</v>
      </c>
      <c r="M145" s="83">
        <v>44659</v>
      </c>
      <c r="N145" s="84">
        <v>999.96</v>
      </c>
    </row>
    <row r="146" spans="1:14" ht="29.4" customHeight="1" thickBot="1">
      <c r="A146" s="82" t="s">
        <v>285</v>
      </c>
      <c r="B146" s="83">
        <v>45608</v>
      </c>
      <c r="C146" s="82" t="s">
        <v>154</v>
      </c>
      <c r="D146" s="82" t="s">
        <v>155</v>
      </c>
      <c r="E146" s="82" t="s">
        <v>44</v>
      </c>
      <c r="F146" s="82" t="s">
        <v>45</v>
      </c>
      <c r="G146" s="82" t="s">
        <v>46</v>
      </c>
      <c r="H146" s="84">
        <v>5</v>
      </c>
      <c r="I146" s="84">
        <v>149.99</v>
      </c>
      <c r="J146" s="82" t="s">
        <v>34</v>
      </c>
      <c r="K146" s="82" t="s">
        <v>21</v>
      </c>
      <c r="L146" s="82" t="s">
        <v>22</v>
      </c>
      <c r="M146" s="83">
        <v>44901</v>
      </c>
      <c r="N146" s="84">
        <v>749.95</v>
      </c>
    </row>
    <row r="147" spans="1:14" ht="29.4" customHeight="1" thickBot="1">
      <c r="A147" s="82" t="s">
        <v>286</v>
      </c>
      <c r="B147" s="83">
        <v>45608</v>
      </c>
      <c r="C147" s="82" t="s">
        <v>83</v>
      </c>
      <c r="D147" s="82" t="s">
        <v>84</v>
      </c>
      <c r="E147" s="82" t="s">
        <v>31</v>
      </c>
      <c r="F147" s="82" t="s">
        <v>32</v>
      </c>
      <c r="G147" s="82" t="s">
        <v>33</v>
      </c>
      <c r="H147" s="84">
        <v>3</v>
      </c>
      <c r="I147" s="84">
        <v>59.99</v>
      </c>
      <c r="J147" s="82" t="s">
        <v>57</v>
      </c>
      <c r="K147" s="82" t="s">
        <v>35</v>
      </c>
      <c r="L147" s="82" t="s">
        <v>36</v>
      </c>
      <c r="M147" s="83">
        <v>45260</v>
      </c>
      <c r="N147" s="84">
        <v>179.97</v>
      </c>
    </row>
    <row r="148" spans="1:14" ht="29.4" customHeight="1" thickBot="1">
      <c r="A148" s="82" t="s">
        <v>287</v>
      </c>
      <c r="B148" s="83">
        <v>45613</v>
      </c>
      <c r="C148" s="82" t="s">
        <v>234</v>
      </c>
      <c r="D148" s="82" t="s">
        <v>235</v>
      </c>
      <c r="E148" s="82" t="s">
        <v>44</v>
      </c>
      <c r="F148" s="82" t="s">
        <v>45</v>
      </c>
      <c r="G148" s="82" t="s">
        <v>46</v>
      </c>
      <c r="H148" s="84">
        <v>5</v>
      </c>
      <c r="I148" s="84">
        <v>149.99</v>
      </c>
      <c r="J148" s="82" t="s">
        <v>20</v>
      </c>
      <c r="K148" s="82" t="s">
        <v>40</v>
      </c>
      <c r="L148" s="82" t="s">
        <v>22</v>
      </c>
      <c r="M148" s="83">
        <v>44869</v>
      </c>
      <c r="N148" s="84">
        <v>749.95</v>
      </c>
    </row>
    <row r="149" spans="1:14" ht="29.4" customHeight="1" thickBot="1">
      <c r="A149" s="82" t="s">
        <v>288</v>
      </c>
      <c r="B149" s="83">
        <v>45613</v>
      </c>
      <c r="C149" s="82" t="s">
        <v>86</v>
      </c>
      <c r="D149" s="82" t="s">
        <v>87</v>
      </c>
      <c r="E149" s="82" t="s">
        <v>80</v>
      </c>
      <c r="F149" s="82" t="s">
        <v>81</v>
      </c>
      <c r="G149" s="82" t="s">
        <v>19</v>
      </c>
      <c r="H149" s="84">
        <v>2</v>
      </c>
      <c r="I149" s="84">
        <v>699.99</v>
      </c>
      <c r="J149" s="82" t="s">
        <v>34</v>
      </c>
      <c r="K149" s="82" t="s">
        <v>50</v>
      </c>
      <c r="L149" s="82" t="s">
        <v>36</v>
      </c>
      <c r="M149" s="83">
        <v>44770</v>
      </c>
      <c r="N149" s="84">
        <v>1399.98</v>
      </c>
    </row>
    <row r="150" spans="1:14" ht="29.4" customHeight="1" thickBot="1">
      <c r="A150" s="82" t="s">
        <v>289</v>
      </c>
      <c r="B150" s="83">
        <v>45617</v>
      </c>
      <c r="C150" s="82" t="s">
        <v>123</v>
      </c>
      <c r="D150" s="82" t="s">
        <v>124</v>
      </c>
      <c r="E150" s="82" t="s">
        <v>126</v>
      </c>
      <c r="F150" s="82" t="s">
        <v>127</v>
      </c>
      <c r="G150" s="82" t="s">
        <v>46</v>
      </c>
      <c r="H150" s="84">
        <v>4</v>
      </c>
      <c r="I150" s="84">
        <v>199.99</v>
      </c>
      <c r="J150" s="82" t="s">
        <v>57</v>
      </c>
      <c r="K150" s="82" t="s">
        <v>21</v>
      </c>
      <c r="L150" s="82" t="s">
        <v>27</v>
      </c>
      <c r="M150" s="83">
        <v>44427</v>
      </c>
      <c r="N150" s="84">
        <v>799.96</v>
      </c>
    </row>
    <row r="151" spans="1:14" ht="29.4" customHeight="1" thickBot="1">
      <c r="A151" s="82" t="s">
        <v>290</v>
      </c>
      <c r="B151" s="83">
        <v>45619</v>
      </c>
      <c r="C151" s="82" t="s">
        <v>192</v>
      </c>
      <c r="D151" s="82" t="s">
        <v>193</v>
      </c>
      <c r="E151" s="82" t="s">
        <v>31</v>
      </c>
      <c r="F151" s="82" t="s">
        <v>32</v>
      </c>
      <c r="G151" s="82" t="s">
        <v>33</v>
      </c>
      <c r="H151" s="84">
        <v>1</v>
      </c>
      <c r="I151" s="84">
        <v>59.99</v>
      </c>
      <c r="J151" s="82" t="s">
        <v>57</v>
      </c>
      <c r="K151" s="82" t="s">
        <v>50</v>
      </c>
      <c r="L151" s="82" t="s">
        <v>36</v>
      </c>
      <c r="M151" s="83">
        <v>44560</v>
      </c>
      <c r="N151" s="84">
        <v>59.99</v>
      </c>
    </row>
    <row r="152" spans="1:14" ht="29.4" customHeight="1" thickBot="1">
      <c r="A152" s="82" t="s">
        <v>291</v>
      </c>
      <c r="B152" s="83">
        <v>45619</v>
      </c>
      <c r="C152" s="82" t="s">
        <v>154</v>
      </c>
      <c r="D152" s="82" t="s">
        <v>155</v>
      </c>
      <c r="E152" s="82" t="s">
        <v>80</v>
      </c>
      <c r="F152" s="82" t="s">
        <v>81</v>
      </c>
      <c r="G152" s="82" t="s">
        <v>19</v>
      </c>
      <c r="H152" s="84">
        <v>3</v>
      </c>
      <c r="I152" s="84">
        <v>699.99</v>
      </c>
      <c r="J152" s="82" t="s">
        <v>34</v>
      </c>
      <c r="K152" s="82" t="s">
        <v>50</v>
      </c>
      <c r="L152" s="82" t="s">
        <v>36</v>
      </c>
      <c r="M152" s="83">
        <v>44583</v>
      </c>
      <c r="N152" s="84">
        <v>2099.9699999999998</v>
      </c>
    </row>
    <row r="153" spans="1:14" ht="29.4" customHeight="1" thickBot="1">
      <c r="A153" s="82" t="s">
        <v>292</v>
      </c>
      <c r="B153" s="83">
        <v>45622</v>
      </c>
      <c r="C153" s="82" t="s">
        <v>293</v>
      </c>
      <c r="D153" s="82" t="s">
        <v>294</v>
      </c>
      <c r="E153" s="82" t="s">
        <v>17</v>
      </c>
      <c r="F153" s="82" t="s">
        <v>18</v>
      </c>
      <c r="G153" s="82" t="s">
        <v>19</v>
      </c>
      <c r="H153" s="84">
        <v>5</v>
      </c>
      <c r="I153" s="84">
        <v>249.99</v>
      </c>
      <c r="J153" s="82" t="s">
        <v>26</v>
      </c>
      <c r="K153" s="82" t="s">
        <v>40</v>
      </c>
      <c r="L153" s="82" t="s">
        <v>22</v>
      </c>
      <c r="M153" s="83">
        <v>44873</v>
      </c>
      <c r="N153" s="84">
        <v>1249.95</v>
      </c>
    </row>
    <row r="154" spans="1:14" ht="29.4" customHeight="1" thickBot="1">
      <c r="A154" s="82" t="s">
        <v>295</v>
      </c>
      <c r="B154" s="83">
        <v>45623</v>
      </c>
      <c r="C154" s="82" t="s">
        <v>112</v>
      </c>
      <c r="D154" s="82" t="s">
        <v>113</v>
      </c>
      <c r="E154" s="82" t="s">
        <v>44</v>
      </c>
      <c r="F154" s="82" t="s">
        <v>45</v>
      </c>
      <c r="G154" s="82" t="s">
        <v>46</v>
      </c>
      <c r="H154" s="84">
        <v>2</v>
      </c>
      <c r="I154" s="84">
        <v>149.99</v>
      </c>
      <c r="J154" s="82" t="s">
        <v>20</v>
      </c>
      <c r="K154" s="82" t="s">
        <v>35</v>
      </c>
      <c r="L154" s="82" t="s">
        <v>36</v>
      </c>
      <c r="M154" s="83">
        <v>45101</v>
      </c>
      <c r="N154" s="84">
        <v>299.98</v>
      </c>
    </row>
    <row r="155" spans="1:14" ht="29.4" customHeight="1" thickBot="1">
      <c r="A155" s="82" t="s">
        <v>296</v>
      </c>
      <c r="B155" s="83">
        <v>45627</v>
      </c>
      <c r="C155" s="82" t="s">
        <v>29</v>
      </c>
      <c r="D155" s="82" t="s">
        <v>30</v>
      </c>
      <c r="E155" s="82" t="s">
        <v>105</v>
      </c>
      <c r="F155" s="82" t="s">
        <v>106</v>
      </c>
      <c r="G155" s="82" t="s">
        <v>46</v>
      </c>
      <c r="H155" s="84">
        <v>3</v>
      </c>
      <c r="I155" s="84">
        <v>299.99</v>
      </c>
      <c r="J155" s="82" t="s">
        <v>20</v>
      </c>
      <c r="K155" s="82" t="s">
        <v>35</v>
      </c>
      <c r="L155" s="82" t="s">
        <v>27</v>
      </c>
      <c r="M155" s="83">
        <v>44659</v>
      </c>
      <c r="N155" s="84">
        <v>899.97</v>
      </c>
    </row>
    <row r="156" spans="1:14" ht="29.4" customHeight="1" thickBot="1">
      <c r="A156" s="82" t="s">
        <v>297</v>
      </c>
      <c r="B156" s="83">
        <v>45627</v>
      </c>
      <c r="C156" s="82" t="s">
        <v>55</v>
      </c>
      <c r="D156" s="82" t="s">
        <v>56</v>
      </c>
      <c r="E156" s="82" t="s">
        <v>17</v>
      </c>
      <c r="F156" s="82" t="s">
        <v>18</v>
      </c>
      <c r="G156" s="82" t="s">
        <v>19</v>
      </c>
      <c r="H156" s="84">
        <v>5</v>
      </c>
      <c r="I156" s="84">
        <v>249.99</v>
      </c>
      <c r="J156" s="82" t="s">
        <v>20</v>
      </c>
      <c r="K156" s="82" t="s">
        <v>21</v>
      </c>
      <c r="L156" s="82" t="s">
        <v>27</v>
      </c>
      <c r="M156" s="83">
        <v>44485</v>
      </c>
      <c r="N156" s="84">
        <v>1249.95</v>
      </c>
    </row>
    <row r="157" spans="1:14" ht="29.4" customHeight="1" thickBot="1">
      <c r="A157" s="82" t="s">
        <v>298</v>
      </c>
      <c r="B157" s="83">
        <v>45627</v>
      </c>
      <c r="C157" s="82" t="s">
        <v>24</v>
      </c>
      <c r="D157" s="82" t="s">
        <v>25</v>
      </c>
      <c r="E157" s="82" t="s">
        <v>52</v>
      </c>
      <c r="F157" s="82" t="s">
        <v>53</v>
      </c>
      <c r="G157" s="82" t="s">
        <v>19</v>
      </c>
      <c r="H157" s="84">
        <v>2</v>
      </c>
      <c r="I157" s="84">
        <v>149.99</v>
      </c>
      <c r="J157" s="82" t="s">
        <v>20</v>
      </c>
      <c r="K157" s="82" t="s">
        <v>35</v>
      </c>
      <c r="L157" s="82" t="s">
        <v>27</v>
      </c>
      <c r="M157" s="83">
        <v>44475</v>
      </c>
      <c r="N157" s="84">
        <v>299.98</v>
      </c>
    </row>
    <row r="158" spans="1:14" ht="29.4" customHeight="1" thickBot="1">
      <c r="A158" s="82" t="s">
        <v>299</v>
      </c>
      <c r="B158" s="83">
        <v>45627</v>
      </c>
      <c r="C158" s="82" t="s">
        <v>86</v>
      </c>
      <c r="D158" s="82" t="s">
        <v>87</v>
      </c>
      <c r="E158" s="82" t="s">
        <v>80</v>
      </c>
      <c r="F158" s="82" t="s">
        <v>81</v>
      </c>
      <c r="G158" s="82" t="s">
        <v>19</v>
      </c>
      <c r="H158" s="84">
        <v>5</v>
      </c>
      <c r="I158" s="84">
        <v>699.99</v>
      </c>
      <c r="J158" s="82" t="s">
        <v>57</v>
      </c>
      <c r="K158" s="82" t="s">
        <v>50</v>
      </c>
      <c r="L158" s="82" t="s">
        <v>36</v>
      </c>
      <c r="M158" s="83">
        <v>44944</v>
      </c>
      <c r="N158" s="84">
        <v>3499.95</v>
      </c>
    </row>
    <row r="159" spans="1:14" ht="29.4" customHeight="1" thickBot="1">
      <c r="A159" s="82" t="s">
        <v>300</v>
      </c>
      <c r="B159" s="83">
        <v>45629</v>
      </c>
      <c r="C159" s="82" t="s">
        <v>252</v>
      </c>
      <c r="D159" s="82" t="s">
        <v>253</v>
      </c>
      <c r="E159" s="82" t="s">
        <v>17</v>
      </c>
      <c r="F159" s="82" t="s">
        <v>18</v>
      </c>
      <c r="G159" s="82" t="s">
        <v>19</v>
      </c>
      <c r="H159" s="84">
        <v>4</v>
      </c>
      <c r="I159" s="84">
        <v>249.99</v>
      </c>
      <c r="J159" s="82" t="s">
        <v>34</v>
      </c>
      <c r="K159" s="82" t="s">
        <v>63</v>
      </c>
      <c r="L159" s="82" t="s">
        <v>27</v>
      </c>
      <c r="M159" s="83">
        <v>45098</v>
      </c>
      <c r="N159" s="84">
        <v>999.96</v>
      </c>
    </row>
    <row r="160" spans="1:14" ht="29.4" customHeight="1" thickBot="1">
      <c r="A160" s="82" t="s">
        <v>301</v>
      </c>
      <c r="B160" s="83">
        <v>45630</v>
      </c>
      <c r="C160" s="82" t="s">
        <v>48</v>
      </c>
      <c r="D160" s="82" t="s">
        <v>49</v>
      </c>
      <c r="E160" s="82" t="s">
        <v>80</v>
      </c>
      <c r="F160" s="82" t="s">
        <v>81</v>
      </c>
      <c r="G160" s="82" t="s">
        <v>19</v>
      </c>
      <c r="H160" s="84">
        <v>4</v>
      </c>
      <c r="I160" s="84">
        <v>699.99</v>
      </c>
      <c r="J160" s="82" t="s">
        <v>26</v>
      </c>
      <c r="K160" s="82" t="s">
        <v>40</v>
      </c>
      <c r="L160" s="82" t="s">
        <v>27</v>
      </c>
      <c r="M160" s="83">
        <v>44703</v>
      </c>
      <c r="N160" s="84">
        <v>2799.96</v>
      </c>
    </row>
    <row r="161" spans="1:14" ht="29.4" customHeight="1" thickBot="1">
      <c r="A161" s="82" t="s">
        <v>302</v>
      </c>
      <c r="B161" s="83">
        <v>45635</v>
      </c>
      <c r="C161" s="82" t="s">
        <v>108</v>
      </c>
      <c r="D161" s="82" t="s">
        <v>109</v>
      </c>
      <c r="E161" s="82" t="s">
        <v>17</v>
      </c>
      <c r="F161" s="82" t="s">
        <v>18</v>
      </c>
      <c r="G161" s="82" t="s">
        <v>19</v>
      </c>
      <c r="H161" s="84">
        <v>2</v>
      </c>
      <c r="I161" s="84">
        <v>249.99</v>
      </c>
      <c r="J161" s="82" t="s">
        <v>26</v>
      </c>
      <c r="K161" s="82" t="s">
        <v>21</v>
      </c>
      <c r="L161" s="82" t="s">
        <v>27</v>
      </c>
      <c r="M161" s="83">
        <v>44396</v>
      </c>
      <c r="N161" s="84">
        <v>499.98</v>
      </c>
    </row>
    <row r="162" spans="1:14" ht="29.4" customHeight="1" thickBot="1">
      <c r="A162" s="82" t="s">
        <v>303</v>
      </c>
      <c r="B162" s="83">
        <v>45635</v>
      </c>
      <c r="C162" s="82" t="s">
        <v>304</v>
      </c>
      <c r="D162" s="82" t="s">
        <v>305</v>
      </c>
      <c r="E162" s="82" t="s">
        <v>31</v>
      </c>
      <c r="F162" s="82" t="s">
        <v>32</v>
      </c>
      <c r="G162" s="82" t="s">
        <v>33</v>
      </c>
      <c r="H162" s="84">
        <v>3</v>
      </c>
      <c r="I162" s="84">
        <v>59.99</v>
      </c>
      <c r="J162" s="82" t="s">
        <v>20</v>
      </c>
      <c r="K162" s="82" t="s">
        <v>21</v>
      </c>
      <c r="L162" s="82" t="s">
        <v>27</v>
      </c>
      <c r="M162" s="83">
        <v>45052</v>
      </c>
      <c r="N162" s="84">
        <v>179.97</v>
      </c>
    </row>
    <row r="163" spans="1:14" ht="29.4" customHeight="1" thickBot="1">
      <c r="A163" s="82" t="s">
        <v>306</v>
      </c>
      <c r="B163" s="83">
        <v>45635</v>
      </c>
      <c r="C163" s="82" t="s">
        <v>141</v>
      </c>
      <c r="D163" s="82" t="s">
        <v>142</v>
      </c>
      <c r="E163" s="82" t="s">
        <v>114</v>
      </c>
      <c r="F163" s="82" t="s">
        <v>115</v>
      </c>
      <c r="G163" s="82" t="s">
        <v>33</v>
      </c>
      <c r="H163" s="84">
        <v>4</v>
      </c>
      <c r="I163" s="84">
        <v>79.989999999999995</v>
      </c>
      <c r="J163" s="82" t="s">
        <v>57</v>
      </c>
      <c r="K163" s="82" t="s">
        <v>63</v>
      </c>
      <c r="L163" s="82" t="s">
        <v>36</v>
      </c>
      <c r="M163" s="83">
        <v>44921</v>
      </c>
      <c r="N163" s="84">
        <v>319.95999999999998</v>
      </c>
    </row>
    <row r="164" spans="1:14" ht="29.4" customHeight="1" thickBot="1">
      <c r="A164" s="82" t="s">
        <v>307</v>
      </c>
      <c r="B164" s="83">
        <v>45636</v>
      </c>
      <c r="C164" s="82" t="s">
        <v>120</v>
      </c>
      <c r="D164" s="82" t="s">
        <v>121</v>
      </c>
      <c r="E164" s="82" t="s">
        <v>114</v>
      </c>
      <c r="F164" s="82" t="s">
        <v>115</v>
      </c>
      <c r="G164" s="82" t="s">
        <v>33</v>
      </c>
      <c r="H164" s="84">
        <v>3</v>
      </c>
      <c r="I164" s="84">
        <v>79.989999999999995</v>
      </c>
      <c r="J164" s="82" t="s">
        <v>57</v>
      </c>
      <c r="K164" s="82" t="s">
        <v>63</v>
      </c>
      <c r="L164" s="82" t="s">
        <v>36</v>
      </c>
      <c r="M164" s="83">
        <v>44779</v>
      </c>
      <c r="N164" s="84">
        <v>239.97</v>
      </c>
    </row>
    <row r="165" spans="1:14" ht="43.8" customHeight="1" thickBot="1">
      <c r="A165" s="82" t="s">
        <v>308</v>
      </c>
      <c r="B165" s="83">
        <v>45638</v>
      </c>
      <c r="C165" s="82" t="s">
        <v>72</v>
      </c>
      <c r="D165" s="82" t="s">
        <v>73</v>
      </c>
      <c r="E165" s="82" t="s">
        <v>61</v>
      </c>
      <c r="F165" s="82" t="s">
        <v>62</v>
      </c>
      <c r="G165" s="82" t="s">
        <v>19</v>
      </c>
      <c r="H165" s="84">
        <v>2</v>
      </c>
      <c r="I165" s="84">
        <v>899.99</v>
      </c>
      <c r="J165" s="82" t="s">
        <v>20</v>
      </c>
      <c r="K165" s="82" t="s">
        <v>40</v>
      </c>
      <c r="L165" s="82" t="s">
        <v>22</v>
      </c>
      <c r="M165" s="83">
        <v>44406</v>
      </c>
      <c r="N165" s="84">
        <v>1799.98</v>
      </c>
    </row>
    <row r="166" spans="1:14" ht="29.4" customHeight="1" thickBot="1">
      <c r="A166" s="82" t="s">
        <v>309</v>
      </c>
      <c r="B166" s="83">
        <v>45641</v>
      </c>
      <c r="C166" s="82" t="s">
        <v>182</v>
      </c>
      <c r="D166" s="82" t="s">
        <v>183</v>
      </c>
      <c r="E166" s="82" t="s">
        <v>44</v>
      </c>
      <c r="F166" s="82" t="s">
        <v>45</v>
      </c>
      <c r="G166" s="82" t="s">
        <v>46</v>
      </c>
      <c r="H166" s="84">
        <v>1</v>
      </c>
      <c r="I166" s="84">
        <v>149.99</v>
      </c>
      <c r="J166" s="82" t="s">
        <v>57</v>
      </c>
      <c r="K166" s="82" t="s">
        <v>63</v>
      </c>
      <c r="L166" s="82" t="s">
        <v>36</v>
      </c>
      <c r="M166" s="83">
        <v>45200</v>
      </c>
      <c r="N166" s="84">
        <v>149.99</v>
      </c>
    </row>
    <row r="167" spans="1:14" ht="29.4" customHeight="1" thickBot="1">
      <c r="A167" s="82" t="s">
        <v>310</v>
      </c>
      <c r="B167" s="83">
        <v>45641</v>
      </c>
      <c r="C167" s="82" t="s">
        <v>138</v>
      </c>
      <c r="D167" s="82" t="s">
        <v>139</v>
      </c>
      <c r="E167" s="82" t="s">
        <v>105</v>
      </c>
      <c r="F167" s="82" t="s">
        <v>106</v>
      </c>
      <c r="G167" s="82" t="s">
        <v>46</v>
      </c>
      <c r="H167" s="84">
        <v>2</v>
      </c>
      <c r="I167" s="84">
        <v>299.99</v>
      </c>
      <c r="J167" s="82" t="s">
        <v>20</v>
      </c>
      <c r="K167" s="82" t="s">
        <v>63</v>
      </c>
      <c r="L167" s="82" t="s">
        <v>27</v>
      </c>
      <c r="M167" s="83">
        <v>44724</v>
      </c>
      <c r="N167" s="84">
        <v>599.98</v>
      </c>
    </row>
    <row r="168" spans="1:14" ht="29.4" customHeight="1" thickBot="1">
      <c r="A168" s="82" t="s">
        <v>311</v>
      </c>
      <c r="B168" s="83">
        <v>45644</v>
      </c>
      <c r="C168" s="82" t="s">
        <v>132</v>
      </c>
      <c r="D168" s="82" t="s">
        <v>133</v>
      </c>
      <c r="E168" s="82" t="s">
        <v>31</v>
      </c>
      <c r="F168" s="82" t="s">
        <v>32</v>
      </c>
      <c r="G168" s="82" t="s">
        <v>33</v>
      </c>
      <c r="H168" s="84">
        <v>2</v>
      </c>
      <c r="I168" s="84">
        <v>59.99</v>
      </c>
      <c r="J168" s="82" t="s">
        <v>20</v>
      </c>
      <c r="K168" s="82" t="s">
        <v>50</v>
      </c>
      <c r="L168" s="82" t="s">
        <v>22</v>
      </c>
      <c r="M168" s="83">
        <v>45191</v>
      </c>
      <c r="N168" s="84">
        <v>119.98</v>
      </c>
    </row>
    <row r="169" spans="1:14" ht="29.4" customHeight="1" thickBot="1">
      <c r="A169" s="82" t="s">
        <v>312</v>
      </c>
      <c r="B169" s="83">
        <v>45645</v>
      </c>
      <c r="C169" s="82" t="s">
        <v>182</v>
      </c>
      <c r="D169" s="82" t="s">
        <v>183</v>
      </c>
      <c r="E169" s="82" t="s">
        <v>117</v>
      </c>
      <c r="F169" s="82" t="s">
        <v>118</v>
      </c>
      <c r="G169" s="82" t="s">
        <v>19</v>
      </c>
      <c r="H169" s="84">
        <v>1</v>
      </c>
      <c r="I169" s="84">
        <v>89.99</v>
      </c>
      <c r="J169" s="82" t="s">
        <v>57</v>
      </c>
      <c r="K169" s="82" t="s">
        <v>21</v>
      </c>
      <c r="L169" s="82" t="s">
        <v>36</v>
      </c>
      <c r="M169" s="83">
        <v>44760</v>
      </c>
      <c r="N169" s="84">
        <v>89.99</v>
      </c>
    </row>
    <row r="170" spans="1:14" ht="29.4" customHeight="1" thickBot="1">
      <c r="A170" s="82" t="s">
        <v>313</v>
      </c>
      <c r="B170" s="83">
        <v>45645</v>
      </c>
      <c r="C170" s="82" t="s">
        <v>147</v>
      </c>
      <c r="D170" s="82" t="s">
        <v>148</v>
      </c>
      <c r="E170" s="82" t="s">
        <v>61</v>
      </c>
      <c r="F170" s="82" t="s">
        <v>62</v>
      </c>
      <c r="G170" s="82" t="s">
        <v>19</v>
      </c>
      <c r="H170" s="84">
        <v>5</v>
      </c>
      <c r="I170" s="84">
        <v>899.99</v>
      </c>
      <c r="J170" s="82" t="s">
        <v>57</v>
      </c>
      <c r="K170" s="82" t="s">
        <v>63</v>
      </c>
      <c r="L170" s="82" t="s">
        <v>36</v>
      </c>
      <c r="M170" s="83">
        <v>44625</v>
      </c>
      <c r="N170" s="84">
        <v>4499.95</v>
      </c>
    </row>
    <row r="171" spans="1:14" ht="29.4" customHeight="1" thickBot="1">
      <c r="A171" s="82" t="s">
        <v>314</v>
      </c>
      <c r="B171" s="83">
        <v>45646</v>
      </c>
      <c r="C171" s="82" t="s">
        <v>42</v>
      </c>
      <c r="D171" s="82" t="s">
        <v>43</v>
      </c>
      <c r="E171" s="82" t="s">
        <v>44</v>
      </c>
      <c r="F171" s="82" t="s">
        <v>45</v>
      </c>
      <c r="G171" s="82" t="s">
        <v>46</v>
      </c>
      <c r="H171" s="84">
        <v>2</v>
      </c>
      <c r="I171" s="84">
        <v>149.99</v>
      </c>
      <c r="J171" s="82" t="s">
        <v>20</v>
      </c>
      <c r="K171" s="82" t="s">
        <v>35</v>
      </c>
      <c r="L171" s="82" t="s">
        <v>22</v>
      </c>
      <c r="M171" s="83">
        <v>45239</v>
      </c>
      <c r="N171" s="84">
        <v>299.98</v>
      </c>
    </row>
    <row r="172" spans="1:14" ht="29.4" customHeight="1" thickBot="1">
      <c r="A172" s="82" t="s">
        <v>315</v>
      </c>
      <c r="B172" s="83">
        <v>45648</v>
      </c>
      <c r="C172" s="82" t="s">
        <v>112</v>
      </c>
      <c r="D172" s="82" t="s">
        <v>113</v>
      </c>
      <c r="E172" s="82" t="s">
        <v>52</v>
      </c>
      <c r="F172" s="82" t="s">
        <v>53</v>
      </c>
      <c r="G172" s="82" t="s">
        <v>19</v>
      </c>
      <c r="H172" s="84">
        <v>2</v>
      </c>
      <c r="I172" s="84">
        <v>149.99</v>
      </c>
      <c r="J172" s="82" t="s">
        <v>57</v>
      </c>
      <c r="K172" s="82" t="s">
        <v>50</v>
      </c>
      <c r="L172" s="82" t="s">
        <v>27</v>
      </c>
      <c r="M172" s="83">
        <v>45280</v>
      </c>
      <c r="N172" s="84">
        <v>299.98</v>
      </c>
    </row>
    <row r="173" spans="1:14" ht="29.4" customHeight="1" thickBot="1">
      <c r="A173" s="82" t="s">
        <v>316</v>
      </c>
      <c r="B173" s="83">
        <v>45648</v>
      </c>
      <c r="C173" s="82" t="s">
        <v>182</v>
      </c>
      <c r="D173" s="82" t="s">
        <v>183</v>
      </c>
      <c r="E173" s="82" t="s">
        <v>44</v>
      </c>
      <c r="F173" s="82" t="s">
        <v>45</v>
      </c>
      <c r="G173" s="82" t="s">
        <v>46</v>
      </c>
      <c r="H173" s="84">
        <v>3</v>
      </c>
      <c r="I173" s="84">
        <v>149.99</v>
      </c>
      <c r="J173" s="82" t="s">
        <v>57</v>
      </c>
      <c r="K173" s="82" t="s">
        <v>40</v>
      </c>
      <c r="L173" s="82" t="s">
        <v>36</v>
      </c>
      <c r="M173" s="83">
        <v>44522</v>
      </c>
      <c r="N173" s="84">
        <v>449.97</v>
      </c>
    </row>
    <row r="174" spans="1:14" ht="29.4" customHeight="1" thickBot="1">
      <c r="A174" s="82" t="s">
        <v>317</v>
      </c>
      <c r="B174" s="83">
        <v>45649</v>
      </c>
      <c r="C174" s="82" t="s">
        <v>29</v>
      </c>
      <c r="D174" s="82" t="s">
        <v>30</v>
      </c>
      <c r="E174" s="82" t="s">
        <v>105</v>
      </c>
      <c r="F174" s="82" t="s">
        <v>106</v>
      </c>
      <c r="G174" s="82" t="s">
        <v>46</v>
      </c>
      <c r="H174" s="84">
        <v>2</v>
      </c>
      <c r="I174" s="84">
        <v>299.99</v>
      </c>
      <c r="J174" s="82" t="s">
        <v>34</v>
      </c>
      <c r="K174" s="82" t="s">
        <v>35</v>
      </c>
      <c r="L174" s="82" t="s">
        <v>22</v>
      </c>
      <c r="M174" s="83">
        <v>44721</v>
      </c>
      <c r="N174" s="84">
        <v>599.98</v>
      </c>
    </row>
    <row r="175" spans="1:14" ht="29.4" customHeight="1" thickBot="1">
      <c r="A175" s="82" t="s">
        <v>318</v>
      </c>
      <c r="B175" s="83">
        <v>45654</v>
      </c>
      <c r="C175" s="82" t="s">
        <v>42</v>
      </c>
      <c r="D175" s="82" t="s">
        <v>43</v>
      </c>
      <c r="E175" s="82" t="s">
        <v>105</v>
      </c>
      <c r="F175" s="82" t="s">
        <v>106</v>
      </c>
      <c r="G175" s="82" t="s">
        <v>46</v>
      </c>
      <c r="H175" s="84">
        <v>2</v>
      </c>
      <c r="I175" s="84">
        <v>299.99</v>
      </c>
      <c r="J175" s="82" t="s">
        <v>20</v>
      </c>
      <c r="K175" s="82" t="s">
        <v>50</v>
      </c>
      <c r="L175" s="82" t="s">
        <v>22</v>
      </c>
      <c r="M175" s="83">
        <v>44771</v>
      </c>
      <c r="N175" s="84">
        <v>599.98</v>
      </c>
    </row>
    <row r="176" spans="1:14" ht="29.4" customHeight="1" thickBot="1">
      <c r="A176" s="82" t="s">
        <v>319</v>
      </c>
      <c r="B176" s="83">
        <v>45654</v>
      </c>
      <c r="C176" s="82" t="s">
        <v>120</v>
      </c>
      <c r="D176" s="82" t="s">
        <v>121</v>
      </c>
      <c r="E176" s="82" t="s">
        <v>126</v>
      </c>
      <c r="F176" s="82" t="s">
        <v>127</v>
      </c>
      <c r="G176" s="82" t="s">
        <v>46</v>
      </c>
      <c r="H176" s="84">
        <v>4</v>
      </c>
      <c r="I176" s="84">
        <v>199.99</v>
      </c>
      <c r="J176" s="82" t="s">
        <v>26</v>
      </c>
      <c r="K176" s="82" t="s">
        <v>21</v>
      </c>
      <c r="L176" s="82" t="s">
        <v>22</v>
      </c>
      <c r="M176" s="83">
        <v>44523</v>
      </c>
      <c r="N176" s="84">
        <v>799.96</v>
      </c>
    </row>
    <row r="177" spans="1:14" ht="29.4" customHeight="1" thickBot="1">
      <c r="A177" s="82" t="s">
        <v>320</v>
      </c>
      <c r="B177" s="83">
        <v>45655</v>
      </c>
      <c r="C177" s="82" t="s">
        <v>59</v>
      </c>
      <c r="D177" s="82" t="s">
        <v>60</v>
      </c>
      <c r="E177" s="82" t="s">
        <v>117</v>
      </c>
      <c r="F177" s="82" t="s">
        <v>118</v>
      </c>
      <c r="G177" s="82" t="s">
        <v>19</v>
      </c>
      <c r="H177" s="84">
        <v>1</v>
      </c>
      <c r="I177" s="84">
        <v>89.99</v>
      </c>
      <c r="J177" s="82" t="s">
        <v>26</v>
      </c>
      <c r="K177" s="82" t="s">
        <v>35</v>
      </c>
      <c r="L177" s="82" t="s">
        <v>27</v>
      </c>
      <c r="M177" s="83">
        <v>44591</v>
      </c>
      <c r="N177" s="84">
        <v>89.99</v>
      </c>
    </row>
    <row r="178" spans="1:14" ht="29.4" customHeight="1" thickBot="1">
      <c r="A178" s="82" t="s">
        <v>321</v>
      </c>
      <c r="B178" s="83">
        <v>45655</v>
      </c>
      <c r="C178" s="82" t="s">
        <v>108</v>
      </c>
      <c r="D178" s="82" t="s">
        <v>109</v>
      </c>
      <c r="E178" s="82" t="s">
        <v>44</v>
      </c>
      <c r="F178" s="82" t="s">
        <v>45</v>
      </c>
      <c r="G178" s="82" t="s">
        <v>46</v>
      </c>
      <c r="H178" s="84">
        <v>5</v>
      </c>
      <c r="I178" s="84">
        <v>149.99</v>
      </c>
      <c r="J178" s="82" t="s">
        <v>20</v>
      </c>
      <c r="K178" s="82" t="s">
        <v>21</v>
      </c>
      <c r="L178" s="82" t="s">
        <v>27</v>
      </c>
      <c r="M178" s="83">
        <v>45347</v>
      </c>
      <c r="N178" s="84">
        <v>749.95</v>
      </c>
    </row>
    <row r="179" spans="1:14" ht="29.4" customHeight="1" thickBot="1">
      <c r="A179" s="82" t="s">
        <v>322</v>
      </c>
      <c r="B179" s="83">
        <v>45657</v>
      </c>
      <c r="C179" s="82" t="s">
        <v>86</v>
      </c>
      <c r="D179" s="82" t="s">
        <v>87</v>
      </c>
      <c r="E179" s="82" t="s">
        <v>61</v>
      </c>
      <c r="F179" s="82" t="s">
        <v>62</v>
      </c>
      <c r="G179" s="82" t="s">
        <v>19</v>
      </c>
      <c r="H179" s="84">
        <v>1</v>
      </c>
      <c r="I179" s="84">
        <v>899.99</v>
      </c>
      <c r="J179" s="82" t="s">
        <v>34</v>
      </c>
      <c r="K179" s="82" t="s">
        <v>40</v>
      </c>
      <c r="L179" s="82" t="s">
        <v>27</v>
      </c>
      <c r="M179" s="83">
        <v>45050</v>
      </c>
      <c r="N179" s="84">
        <v>899.99</v>
      </c>
    </row>
    <row r="180" spans="1:14" ht="29.4" customHeight="1" thickBot="1">
      <c r="A180" s="82" t="s">
        <v>323</v>
      </c>
      <c r="B180" s="83">
        <v>45660</v>
      </c>
      <c r="C180" s="82" t="s">
        <v>147</v>
      </c>
      <c r="D180" s="82" t="s">
        <v>148</v>
      </c>
      <c r="E180" s="82" t="s">
        <v>117</v>
      </c>
      <c r="F180" s="82" t="s">
        <v>118</v>
      </c>
      <c r="G180" s="82" t="s">
        <v>19</v>
      </c>
      <c r="H180" s="84">
        <v>2</v>
      </c>
      <c r="I180" s="84">
        <v>89.99</v>
      </c>
      <c r="J180" s="82" t="s">
        <v>26</v>
      </c>
      <c r="K180" s="82" t="s">
        <v>35</v>
      </c>
      <c r="L180" s="82" t="s">
        <v>27</v>
      </c>
      <c r="M180" s="83">
        <v>44564</v>
      </c>
      <c r="N180" s="84">
        <v>179.98</v>
      </c>
    </row>
    <row r="181" spans="1:14" ht="29.4" customHeight="1" thickBot="1">
      <c r="A181" s="82" t="s">
        <v>324</v>
      </c>
      <c r="B181" s="83">
        <v>45661</v>
      </c>
      <c r="C181" s="82" t="s">
        <v>325</v>
      </c>
      <c r="D181" s="82" t="s">
        <v>326</v>
      </c>
      <c r="E181" s="82" t="s">
        <v>61</v>
      </c>
      <c r="F181" s="82" t="s">
        <v>62</v>
      </c>
      <c r="G181" s="82" t="s">
        <v>19</v>
      </c>
      <c r="H181" s="84">
        <v>1</v>
      </c>
      <c r="I181" s="84">
        <v>899.99</v>
      </c>
      <c r="J181" s="82" t="s">
        <v>34</v>
      </c>
      <c r="K181" s="82" t="s">
        <v>40</v>
      </c>
      <c r="L181" s="82" t="s">
        <v>36</v>
      </c>
      <c r="M181" s="83">
        <v>44752</v>
      </c>
      <c r="N181" s="84">
        <v>899.99</v>
      </c>
    </row>
    <row r="182" spans="1:14" ht="29.4" customHeight="1" thickBot="1">
      <c r="A182" s="82" t="s">
        <v>327</v>
      </c>
      <c r="B182" s="83">
        <v>45663</v>
      </c>
      <c r="C182" s="82" t="s">
        <v>129</v>
      </c>
      <c r="D182" s="82" t="s">
        <v>130</v>
      </c>
      <c r="E182" s="82" t="s">
        <v>52</v>
      </c>
      <c r="F182" s="82" t="s">
        <v>53</v>
      </c>
      <c r="G182" s="82" t="s">
        <v>19</v>
      </c>
      <c r="H182" s="84">
        <v>5</v>
      </c>
      <c r="I182" s="84">
        <v>149.99</v>
      </c>
      <c r="J182" s="82" t="s">
        <v>34</v>
      </c>
      <c r="K182" s="82" t="s">
        <v>63</v>
      </c>
      <c r="L182" s="82" t="s">
        <v>27</v>
      </c>
      <c r="M182" s="83">
        <v>44824</v>
      </c>
      <c r="N182" s="84">
        <v>749.95</v>
      </c>
    </row>
    <row r="183" spans="1:14" ht="29.4" customHeight="1" thickBot="1">
      <c r="A183" s="82" t="s">
        <v>328</v>
      </c>
      <c r="B183" s="83">
        <v>45663</v>
      </c>
      <c r="C183" s="82" t="s">
        <v>42</v>
      </c>
      <c r="D183" s="82" t="s">
        <v>43</v>
      </c>
      <c r="E183" s="82" t="s">
        <v>105</v>
      </c>
      <c r="F183" s="82" t="s">
        <v>106</v>
      </c>
      <c r="G183" s="82" t="s">
        <v>46</v>
      </c>
      <c r="H183" s="84">
        <v>3</v>
      </c>
      <c r="I183" s="84">
        <v>299.99</v>
      </c>
      <c r="J183" s="82" t="s">
        <v>20</v>
      </c>
      <c r="K183" s="82" t="s">
        <v>35</v>
      </c>
      <c r="L183" s="82" t="s">
        <v>36</v>
      </c>
      <c r="M183" s="83">
        <v>44422</v>
      </c>
      <c r="N183" s="84">
        <v>899.97</v>
      </c>
    </row>
    <row r="184" spans="1:14" ht="29.4" customHeight="1" thickBot="1">
      <c r="A184" s="82" t="s">
        <v>329</v>
      </c>
      <c r="B184" s="83">
        <v>45666</v>
      </c>
      <c r="C184" s="82" t="s">
        <v>65</v>
      </c>
      <c r="D184" s="82" t="s">
        <v>66</v>
      </c>
      <c r="E184" s="82" t="s">
        <v>80</v>
      </c>
      <c r="F184" s="82" t="s">
        <v>81</v>
      </c>
      <c r="G184" s="82" t="s">
        <v>19</v>
      </c>
      <c r="H184" s="84">
        <v>3</v>
      </c>
      <c r="I184" s="84">
        <v>699.99</v>
      </c>
      <c r="J184" s="82" t="s">
        <v>26</v>
      </c>
      <c r="K184" s="82" t="s">
        <v>21</v>
      </c>
      <c r="L184" s="82" t="s">
        <v>27</v>
      </c>
      <c r="M184" s="83">
        <v>45105</v>
      </c>
      <c r="N184" s="84">
        <v>2099.9699999999998</v>
      </c>
    </row>
    <row r="185" spans="1:14" ht="29.4" customHeight="1" thickBot="1">
      <c r="A185" s="82" t="s">
        <v>330</v>
      </c>
      <c r="B185" s="83">
        <v>45667</v>
      </c>
      <c r="C185" s="82" t="s">
        <v>108</v>
      </c>
      <c r="D185" s="82" t="s">
        <v>109</v>
      </c>
      <c r="E185" s="82" t="s">
        <v>126</v>
      </c>
      <c r="F185" s="82" t="s">
        <v>127</v>
      </c>
      <c r="G185" s="82" t="s">
        <v>46</v>
      </c>
      <c r="H185" s="84">
        <v>5</v>
      </c>
      <c r="I185" s="84">
        <v>199.99</v>
      </c>
      <c r="J185" s="82" t="s">
        <v>34</v>
      </c>
      <c r="K185" s="82" t="s">
        <v>21</v>
      </c>
      <c r="L185" s="82" t="s">
        <v>36</v>
      </c>
      <c r="M185" s="83">
        <v>44633</v>
      </c>
      <c r="N185" s="84">
        <v>999.95</v>
      </c>
    </row>
    <row r="186" spans="1:14" ht="29.4" customHeight="1" thickBot="1">
      <c r="A186" s="82" t="s">
        <v>331</v>
      </c>
      <c r="B186" s="83">
        <v>45667</v>
      </c>
      <c r="C186" s="82" t="s">
        <v>93</v>
      </c>
      <c r="D186" s="82" t="s">
        <v>94</v>
      </c>
      <c r="E186" s="82" t="s">
        <v>17</v>
      </c>
      <c r="F186" s="82" t="s">
        <v>18</v>
      </c>
      <c r="G186" s="82" t="s">
        <v>19</v>
      </c>
      <c r="H186" s="84">
        <v>5</v>
      </c>
      <c r="I186" s="84">
        <v>249.99</v>
      </c>
      <c r="J186" s="82" t="s">
        <v>26</v>
      </c>
      <c r="K186" s="82" t="s">
        <v>35</v>
      </c>
      <c r="L186" s="82" t="s">
        <v>22</v>
      </c>
      <c r="M186" s="83">
        <v>45330</v>
      </c>
      <c r="N186" s="84">
        <v>1249.95</v>
      </c>
    </row>
    <row r="187" spans="1:14" ht="29.4" customHeight="1" thickBot="1">
      <c r="A187" s="82" t="s">
        <v>332</v>
      </c>
      <c r="B187" s="83">
        <v>45668</v>
      </c>
      <c r="C187" s="82" t="s">
        <v>138</v>
      </c>
      <c r="D187" s="82" t="s">
        <v>139</v>
      </c>
      <c r="E187" s="82" t="s">
        <v>52</v>
      </c>
      <c r="F187" s="82" t="s">
        <v>53</v>
      </c>
      <c r="G187" s="82" t="s">
        <v>19</v>
      </c>
      <c r="H187" s="84">
        <v>4</v>
      </c>
      <c r="I187" s="84">
        <v>149.99</v>
      </c>
      <c r="J187" s="82" t="s">
        <v>57</v>
      </c>
      <c r="K187" s="82" t="s">
        <v>63</v>
      </c>
      <c r="L187" s="82" t="s">
        <v>36</v>
      </c>
      <c r="M187" s="83">
        <v>44536</v>
      </c>
      <c r="N187" s="84">
        <v>599.96</v>
      </c>
    </row>
    <row r="188" spans="1:14" ht="29.4" customHeight="1" thickBot="1">
      <c r="A188" s="82" t="s">
        <v>333</v>
      </c>
      <c r="B188" s="83">
        <v>45668</v>
      </c>
      <c r="C188" s="82" t="s">
        <v>78</v>
      </c>
      <c r="D188" s="82" t="s">
        <v>79</v>
      </c>
      <c r="E188" s="82" t="s">
        <v>80</v>
      </c>
      <c r="F188" s="82" t="s">
        <v>81</v>
      </c>
      <c r="G188" s="82" t="s">
        <v>19</v>
      </c>
      <c r="H188" s="84">
        <v>3</v>
      </c>
      <c r="I188" s="84">
        <v>699.99</v>
      </c>
      <c r="J188" s="82" t="s">
        <v>20</v>
      </c>
      <c r="K188" s="82" t="s">
        <v>40</v>
      </c>
      <c r="L188" s="82" t="s">
        <v>27</v>
      </c>
      <c r="M188" s="83">
        <v>44602</v>
      </c>
      <c r="N188" s="84">
        <v>2099.9699999999998</v>
      </c>
    </row>
    <row r="189" spans="1:14" ht="29.4" customHeight="1" thickBot="1">
      <c r="A189" s="82" t="s">
        <v>334</v>
      </c>
      <c r="B189" s="83">
        <v>45670</v>
      </c>
      <c r="C189" s="82" t="s">
        <v>293</v>
      </c>
      <c r="D189" s="82" t="s">
        <v>294</v>
      </c>
      <c r="E189" s="82" t="s">
        <v>114</v>
      </c>
      <c r="F189" s="82" t="s">
        <v>115</v>
      </c>
      <c r="G189" s="82" t="s">
        <v>33</v>
      </c>
      <c r="H189" s="84">
        <v>1</v>
      </c>
      <c r="I189" s="84">
        <v>79.989999999999995</v>
      </c>
      <c r="J189" s="82" t="s">
        <v>26</v>
      </c>
      <c r="K189" s="82" t="s">
        <v>35</v>
      </c>
      <c r="L189" s="82" t="s">
        <v>22</v>
      </c>
      <c r="M189" s="83">
        <v>45322</v>
      </c>
      <c r="N189" s="84">
        <v>79.989999999999995</v>
      </c>
    </row>
    <row r="190" spans="1:14" ht="29.4" customHeight="1" thickBot="1">
      <c r="A190" s="82" t="s">
        <v>335</v>
      </c>
      <c r="B190" s="83">
        <v>45670</v>
      </c>
      <c r="C190" s="82" t="s">
        <v>86</v>
      </c>
      <c r="D190" s="82" t="s">
        <v>87</v>
      </c>
      <c r="E190" s="82" t="s">
        <v>105</v>
      </c>
      <c r="F190" s="82" t="s">
        <v>106</v>
      </c>
      <c r="G190" s="82" t="s">
        <v>46</v>
      </c>
      <c r="H190" s="84">
        <v>1</v>
      </c>
      <c r="I190" s="84">
        <v>299.99</v>
      </c>
      <c r="J190" s="82" t="s">
        <v>26</v>
      </c>
      <c r="K190" s="82" t="s">
        <v>40</v>
      </c>
      <c r="L190" s="82" t="s">
        <v>22</v>
      </c>
      <c r="M190" s="83">
        <v>44436</v>
      </c>
      <c r="N190" s="84">
        <v>299.99</v>
      </c>
    </row>
    <row r="191" spans="1:14" ht="29.4" customHeight="1" thickBot="1">
      <c r="A191" s="82" t="s">
        <v>336</v>
      </c>
      <c r="B191" s="83">
        <v>45671</v>
      </c>
      <c r="C191" s="82" t="s">
        <v>158</v>
      </c>
      <c r="D191" s="82" t="s">
        <v>159</v>
      </c>
      <c r="E191" s="82" t="s">
        <v>17</v>
      </c>
      <c r="F191" s="82" t="s">
        <v>18</v>
      </c>
      <c r="G191" s="82" t="s">
        <v>19</v>
      </c>
      <c r="H191" s="84">
        <v>4</v>
      </c>
      <c r="I191" s="84">
        <v>249.99</v>
      </c>
      <c r="J191" s="82" t="s">
        <v>26</v>
      </c>
      <c r="K191" s="82" t="s">
        <v>40</v>
      </c>
      <c r="L191" s="82" t="s">
        <v>27</v>
      </c>
      <c r="M191" s="83">
        <v>44460</v>
      </c>
      <c r="N191" s="84">
        <v>999.96</v>
      </c>
    </row>
    <row r="192" spans="1:14" ht="29.4" customHeight="1" thickBot="1">
      <c r="A192" s="82" t="s">
        <v>337</v>
      </c>
      <c r="B192" s="83">
        <v>45671</v>
      </c>
      <c r="C192" s="82" t="s">
        <v>120</v>
      </c>
      <c r="D192" s="82" t="s">
        <v>121</v>
      </c>
      <c r="E192" s="82" t="s">
        <v>52</v>
      </c>
      <c r="F192" s="82" t="s">
        <v>53</v>
      </c>
      <c r="G192" s="82" t="s">
        <v>19</v>
      </c>
      <c r="H192" s="84">
        <v>2</v>
      </c>
      <c r="I192" s="84">
        <v>149.99</v>
      </c>
      <c r="J192" s="82" t="s">
        <v>20</v>
      </c>
      <c r="K192" s="82" t="s">
        <v>40</v>
      </c>
      <c r="L192" s="82" t="s">
        <v>36</v>
      </c>
      <c r="M192" s="83">
        <v>44913</v>
      </c>
      <c r="N192" s="84">
        <v>299.98</v>
      </c>
    </row>
    <row r="193" spans="1:14" ht="29.4" customHeight="1" thickBot="1">
      <c r="A193" s="82" t="s">
        <v>338</v>
      </c>
      <c r="B193" s="83">
        <v>45671</v>
      </c>
      <c r="C193" s="82" t="s">
        <v>234</v>
      </c>
      <c r="D193" s="82" t="s">
        <v>235</v>
      </c>
      <c r="E193" s="82" t="s">
        <v>105</v>
      </c>
      <c r="F193" s="82" t="s">
        <v>106</v>
      </c>
      <c r="G193" s="82" t="s">
        <v>46</v>
      </c>
      <c r="H193" s="84">
        <v>3</v>
      </c>
      <c r="I193" s="84">
        <v>299.99</v>
      </c>
      <c r="J193" s="82" t="s">
        <v>26</v>
      </c>
      <c r="K193" s="82" t="s">
        <v>35</v>
      </c>
      <c r="L193" s="82" t="s">
        <v>22</v>
      </c>
      <c r="M193" s="83">
        <v>45204</v>
      </c>
      <c r="N193" s="84">
        <v>899.97</v>
      </c>
    </row>
    <row r="194" spans="1:14" ht="29.4" customHeight="1" thickBot="1">
      <c r="A194" s="82" t="s">
        <v>339</v>
      </c>
      <c r="B194" s="83">
        <v>45673</v>
      </c>
      <c r="C194" s="82" t="s">
        <v>226</v>
      </c>
      <c r="D194" s="82" t="s">
        <v>227</v>
      </c>
      <c r="E194" s="82" t="s">
        <v>126</v>
      </c>
      <c r="F194" s="82" t="s">
        <v>127</v>
      </c>
      <c r="G194" s="82" t="s">
        <v>46</v>
      </c>
      <c r="H194" s="84">
        <v>4</v>
      </c>
      <c r="I194" s="84">
        <v>199.99</v>
      </c>
      <c r="J194" s="82" t="s">
        <v>57</v>
      </c>
      <c r="K194" s="82" t="s">
        <v>35</v>
      </c>
      <c r="L194" s="82" t="s">
        <v>36</v>
      </c>
      <c r="M194" s="83">
        <v>44544</v>
      </c>
      <c r="N194" s="84">
        <v>799.96</v>
      </c>
    </row>
    <row r="195" spans="1:14" ht="29.4" customHeight="1" thickBot="1">
      <c r="A195" s="82" t="s">
        <v>340</v>
      </c>
      <c r="B195" s="83">
        <v>45673</v>
      </c>
      <c r="C195" s="82" t="s">
        <v>211</v>
      </c>
      <c r="D195" s="82" t="s">
        <v>212</v>
      </c>
      <c r="E195" s="82" t="s">
        <v>105</v>
      </c>
      <c r="F195" s="82" t="s">
        <v>106</v>
      </c>
      <c r="G195" s="82" t="s">
        <v>46</v>
      </c>
      <c r="H195" s="84">
        <v>5</v>
      </c>
      <c r="I195" s="84">
        <v>299.99</v>
      </c>
      <c r="J195" s="82" t="s">
        <v>57</v>
      </c>
      <c r="K195" s="82" t="s">
        <v>21</v>
      </c>
      <c r="L195" s="82" t="s">
        <v>22</v>
      </c>
      <c r="M195" s="83">
        <v>44431</v>
      </c>
      <c r="N195" s="84">
        <v>1499.95</v>
      </c>
    </row>
    <row r="196" spans="1:14" ht="29.4" customHeight="1" thickBot="1">
      <c r="A196" s="82" t="s">
        <v>341</v>
      </c>
      <c r="B196" s="83">
        <v>45673</v>
      </c>
      <c r="C196" s="82" t="s">
        <v>59</v>
      </c>
      <c r="D196" s="82" t="s">
        <v>60</v>
      </c>
      <c r="E196" s="82" t="s">
        <v>44</v>
      </c>
      <c r="F196" s="82" t="s">
        <v>45</v>
      </c>
      <c r="G196" s="82" t="s">
        <v>46</v>
      </c>
      <c r="H196" s="84">
        <v>3</v>
      </c>
      <c r="I196" s="84">
        <v>149.99</v>
      </c>
      <c r="J196" s="82" t="s">
        <v>26</v>
      </c>
      <c r="K196" s="82" t="s">
        <v>63</v>
      </c>
      <c r="L196" s="82" t="s">
        <v>36</v>
      </c>
      <c r="M196" s="83">
        <v>44395</v>
      </c>
      <c r="N196" s="84">
        <v>449.97</v>
      </c>
    </row>
    <row r="197" spans="1:14" ht="29.4" customHeight="1" thickBot="1">
      <c r="A197" s="82" t="s">
        <v>342</v>
      </c>
      <c r="B197" s="83">
        <v>45676</v>
      </c>
      <c r="C197" s="82" t="s">
        <v>129</v>
      </c>
      <c r="D197" s="82" t="s">
        <v>130</v>
      </c>
      <c r="E197" s="82" t="s">
        <v>31</v>
      </c>
      <c r="F197" s="82" t="s">
        <v>32</v>
      </c>
      <c r="G197" s="82" t="s">
        <v>33</v>
      </c>
      <c r="H197" s="84">
        <v>5</v>
      </c>
      <c r="I197" s="84">
        <v>59.99</v>
      </c>
      <c r="J197" s="82" t="s">
        <v>57</v>
      </c>
      <c r="K197" s="82" t="s">
        <v>63</v>
      </c>
      <c r="L197" s="82" t="s">
        <v>22</v>
      </c>
      <c r="M197" s="83">
        <v>44642</v>
      </c>
      <c r="N197" s="84">
        <v>299.95</v>
      </c>
    </row>
    <row r="198" spans="1:14" ht="29.4" customHeight="1" thickBot="1">
      <c r="A198" s="82" t="s">
        <v>343</v>
      </c>
      <c r="B198" s="83">
        <v>45682</v>
      </c>
      <c r="C198" s="82" t="s">
        <v>68</v>
      </c>
      <c r="D198" s="82" t="s">
        <v>69</v>
      </c>
      <c r="E198" s="82" t="s">
        <v>31</v>
      </c>
      <c r="F198" s="82" t="s">
        <v>32</v>
      </c>
      <c r="G198" s="82" t="s">
        <v>33</v>
      </c>
      <c r="H198" s="84">
        <v>4</v>
      </c>
      <c r="I198" s="84">
        <v>59.99</v>
      </c>
      <c r="J198" s="82" t="s">
        <v>57</v>
      </c>
      <c r="K198" s="82" t="s">
        <v>63</v>
      </c>
      <c r="L198" s="82" t="s">
        <v>36</v>
      </c>
      <c r="M198" s="83">
        <v>44564</v>
      </c>
      <c r="N198" s="84">
        <v>239.96</v>
      </c>
    </row>
    <row r="199" spans="1:14" ht="29.4" customHeight="1" thickBot="1">
      <c r="A199" s="82" t="s">
        <v>344</v>
      </c>
      <c r="B199" s="83">
        <v>45683</v>
      </c>
      <c r="C199" s="82" t="s">
        <v>48</v>
      </c>
      <c r="D199" s="82" t="s">
        <v>49</v>
      </c>
      <c r="E199" s="82" t="s">
        <v>17</v>
      </c>
      <c r="F199" s="82" t="s">
        <v>18</v>
      </c>
      <c r="G199" s="82" t="s">
        <v>19</v>
      </c>
      <c r="H199" s="84">
        <v>4</v>
      </c>
      <c r="I199" s="84">
        <v>249.99</v>
      </c>
      <c r="J199" s="82" t="s">
        <v>57</v>
      </c>
      <c r="K199" s="82" t="s">
        <v>21</v>
      </c>
      <c r="L199" s="82" t="s">
        <v>27</v>
      </c>
      <c r="M199" s="83">
        <v>45217</v>
      </c>
      <c r="N199" s="84">
        <v>999.96</v>
      </c>
    </row>
    <row r="200" spans="1:14" ht="29.4" customHeight="1" thickBot="1">
      <c r="A200" s="82" t="s">
        <v>345</v>
      </c>
      <c r="B200" s="83">
        <v>45686</v>
      </c>
      <c r="C200" s="82" t="s">
        <v>252</v>
      </c>
      <c r="D200" s="82" t="s">
        <v>253</v>
      </c>
      <c r="E200" s="82" t="s">
        <v>61</v>
      </c>
      <c r="F200" s="82" t="s">
        <v>62</v>
      </c>
      <c r="G200" s="82" t="s">
        <v>19</v>
      </c>
      <c r="H200" s="84">
        <v>4</v>
      </c>
      <c r="I200" s="84">
        <v>899.99</v>
      </c>
      <c r="J200" s="82" t="s">
        <v>34</v>
      </c>
      <c r="K200" s="82" t="s">
        <v>21</v>
      </c>
      <c r="L200" s="82" t="s">
        <v>22</v>
      </c>
      <c r="M200" s="83">
        <v>44734</v>
      </c>
      <c r="N200" s="84">
        <v>3599.96</v>
      </c>
    </row>
    <row r="201" spans="1:14" ht="29.4" customHeight="1" thickBot="1">
      <c r="A201" s="82" t="s">
        <v>346</v>
      </c>
      <c r="B201" s="83">
        <v>45686</v>
      </c>
      <c r="C201" s="82" t="s">
        <v>86</v>
      </c>
      <c r="D201" s="82" t="s">
        <v>87</v>
      </c>
      <c r="E201" s="82" t="s">
        <v>105</v>
      </c>
      <c r="F201" s="82" t="s">
        <v>106</v>
      </c>
      <c r="G201" s="82" t="s">
        <v>46</v>
      </c>
      <c r="H201" s="84">
        <v>3</v>
      </c>
      <c r="I201" s="84">
        <v>299.99</v>
      </c>
      <c r="J201" s="82" t="s">
        <v>57</v>
      </c>
      <c r="K201" s="82" t="s">
        <v>50</v>
      </c>
      <c r="L201" s="82" t="s">
        <v>36</v>
      </c>
      <c r="M201" s="83">
        <v>44952</v>
      </c>
      <c r="N201" s="84">
        <v>899.97</v>
      </c>
    </row>
    <row r="202" spans="1:14" ht="29.4" customHeight="1" thickBot="1">
      <c r="A202" s="82" t="s">
        <v>347</v>
      </c>
      <c r="B202" s="83">
        <v>45686</v>
      </c>
      <c r="C202" s="82" t="s">
        <v>293</v>
      </c>
      <c r="D202" s="82" t="s">
        <v>294</v>
      </c>
      <c r="E202" s="82" t="s">
        <v>80</v>
      </c>
      <c r="F202" s="82" t="s">
        <v>81</v>
      </c>
      <c r="G202" s="82" t="s">
        <v>19</v>
      </c>
      <c r="H202" s="84">
        <v>2</v>
      </c>
      <c r="I202" s="84">
        <v>699.99</v>
      </c>
      <c r="J202" s="82" t="s">
        <v>57</v>
      </c>
      <c r="K202" s="82" t="s">
        <v>21</v>
      </c>
      <c r="L202" s="82" t="s">
        <v>27</v>
      </c>
      <c r="M202" s="83">
        <v>44681</v>
      </c>
      <c r="N202" s="84">
        <v>1399.98</v>
      </c>
    </row>
    <row r="203" spans="1:14" ht="29.4" customHeight="1" thickBot="1">
      <c r="A203" s="82" t="s">
        <v>348</v>
      </c>
      <c r="B203" s="83">
        <v>45688</v>
      </c>
      <c r="C203" s="82" t="s">
        <v>65</v>
      </c>
      <c r="D203" s="82" t="s">
        <v>66</v>
      </c>
      <c r="E203" s="82" t="s">
        <v>80</v>
      </c>
      <c r="F203" s="82" t="s">
        <v>81</v>
      </c>
      <c r="G203" s="82" t="s">
        <v>19</v>
      </c>
      <c r="H203" s="84">
        <v>4</v>
      </c>
      <c r="I203" s="84">
        <v>699.99</v>
      </c>
      <c r="J203" s="82" t="s">
        <v>57</v>
      </c>
      <c r="K203" s="82" t="s">
        <v>50</v>
      </c>
      <c r="L203" s="82" t="s">
        <v>27</v>
      </c>
      <c r="M203" s="83">
        <v>44692</v>
      </c>
      <c r="N203" s="84">
        <v>2799.96</v>
      </c>
    </row>
    <row r="204" spans="1:14" ht="29.4" customHeight="1" thickBot="1">
      <c r="A204" s="82" t="s">
        <v>349</v>
      </c>
      <c r="B204" s="83">
        <v>45688</v>
      </c>
      <c r="C204" s="82" t="s">
        <v>123</v>
      </c>
      <c r="D204" s="82" t="s">
        <v>124</v>
      </c>
      <c r="E204" s="82" t="s">
        <v>117</v>
      </c>
      <c r="F204" s="82" t="s">
        <v>118</v>
      </c>
      <c r="G204" s="82" t="s">
        <v>19</v>
      </c>
      <c r="H204" s="84">
        <v>2</v>
      </c>
      <c r="I204" s="84">
        <v>89.99</v>
      </c>
      <c r="J204" s="82" t="s">
        <v>57</v>
      </c>
      <c r="K204" s="82" t="s">
        <v>35</v>
      </c>
      <c r="L204" s="82" t="s">
        <v>22</v>
      </c>
      <c r="M204" s="83">
        <v>44777</v>
      </c>
      <c r="N204" s="84">
        <v>179.98</v>
      </c>
    </row>
    <row r="205" spans="1:14" ht="29.4" customHeight="1" thickBot="1">
      <c r="A205" s="82" t="s">
        <v>350</v>
      </c>
      <c r="B205" s="83">
        <v>45688</v>
      </c>
      <c r="C205" s="82" t="s">
        <v>42</v>
      </c>
      <c r="D205" s="82" t="s">
        <v>43</v>
      </c>
      <c r="E205" s="82" t="s">
        <v>117</v>
      </c>
      <c r="F205" s="82" t="s">
        <v>118</v>
      </c>
      <c r="G205" s="82" t="s">
        <v>19</v>
      </c>
      <c r="H205" s="84">
        <v>3</v>
      </c>
      <c r="I205" s="84">
        <v>89.99</v>
      </c>
      <c r="J205" s="82" t="s">
        <v>57</v>
      </c>
      <c r="K205" s="82" t="s">
        <v>35</v>
      </c>
      <c r="L205" s="82" t="s">
        <v>27</v>
      </c>
      <c r="M205" s="83">
        <v>45307</v>
      </c>
      <c r="N205" s="84">
        <v>269.97000000000003</v>
      </c>
    </row>
    <row r="206" spans="1:14" ht="29.4" customHeight="1" thickBot="1">
      <c r="A206" s="82" t="s">
        <v>351</v>
      </c>
      <c r="B206" s="83">
        <v>45692</v>
      </c>
      <c r="C206" s="82" t="s">
        <v>325</v>
      </c>
      <c r="D206" s="82" t="s">
        <v>326</v>
      </c>
      <c r="E206" s="82" t="s">
        <v>31</v>
      </c>
      <c r="F206" s="82" t="s">
        <v>32</v>
      </c>
      <c r="G206" s="82" t="s">
        <v>33</v>
      </c>
      <c r="H206" s="84">
        <v>1</v>
      </c>
      <c r="I206" s="84">
        <v>59.99</v>
      </c>
      <c r="J206" s="82" t="s">
        <v>57</v>
      </c>
      <c r="K206" s="82" t="s">
        <v>21</v>
      </c>
      <c r="L206" s="82" t="s">
        <v>36</v>
      </c>
      <c r="M206" s="83">
        <v>45045</v>
      </c>
      <c r="N206" s="84">
        <v>59.99</v>
      </c>
    </row>
    <row r="207" spans="1:14" ht="29.4" customHeight="1" thickBot="1">
      <c r="A207" s="82" t="s">
        <v>352</v>
      </c>
      <c r="B207" s="83">
        <v>45695</v>
      </c>
      <c r="C207" s="82" t="s">
        <v>246</v>
      </c>
      <c r="D207" s="82" t="s">
        <v>247</v>
      </c>
      <c r="E207" s="82" t="s">
        <v>44</v>
      </c>
      <c r="F207" s="82" t="s">
        <v>45</v>
      </c>
      <c r="G207" s="82" t="s">
        <v>46</v>
      </c>
      <c r="H207" s="84">
        <v>3</v>
      </c>
      <c r="I207" s="84">
        <v>149.99</v>
      </c>
      <c r="J207" s="82" t="s">
        <v>57</v>
      </c>
      <c r="K207" s="82" t="s">
        <v>40</v>
      </c>
      <c r="L207" s="82" t="s">
        <v>27</v>
      </c>
      <c r="M207" s="83">
        <v>44564</v>
      </c>
      <c r="N207" s="84">
        <v>449.97</v>
      </c>
    </row>
    <row r="208" spans="1:14" ht="29.4" customHeight="1" thickBot="1">
      <c r="A208" s="82" t="s">
        <v>353</v>
      </c>
      <c r="B208" s="83">
        <v>45695</v>
      </c>
      <c r="C208" s="82" t="s">
        <v>93</v>
      </c>
      <c r="D208" s="82" t="s">
        <v>94</v>
      </c>
      <c r="E208" s="82" t="s">
        <v>105</v>
      </c>
      <c r="F208" s="82" t="s">
        <v>106</v>
      </c>
      <c r="G208" s="82" t="s">
        <v>46</v>
      </c>
      <c r="H208" s="84">
        <v>5</v>
      </c>
      <c r="I208" s="84">
        <v>299.99</v>
      </c>
      <c r="J208" s="82" t="s">
        <v>26</v>
      </c>
      <c r="K208" s="82" t="s">
        <v>35</v>
      </c>
      <c r="L208" s="82" t="s">
        <v>22</v>
      </c>
      <c r="M208" s="83">
        <v>44959</v>
      </c>
      <c r="N208" s="84">
        <v>1499.95</v>
      </c>
    </row>
    <row r="209" spans="1:14" ht="29.4" customHeight="1" thickBot="1">
      <c r="A209" s="82" t="s">
        <v>354</v>
      </c>
      <c r="B209" s="83">
        <v>45696</v>
      </c>
      <c r="C209" s="82" t="s">
        <v>150</v>
      </c>
      <c r="D209" s="82" t="s">
        <v>151</v>
      </c>
      <c r="E209" s="82" t="s">
        <v>31</v>
      </c>
      <c r="F209" s="82" t="s">
        <v>32</v>
      </c>
      <c r="G209" s="82" t="s">
        <v>33</v>
      </c>
      <c r="H209" s="84">
        <v>5</v>
      </c>
      <c r="I209" s="84">
        <v>59.99</v>
      </c>
      <c r="J209" s="82" t="s">
        <v>57</v>
      </c>
      <c r="K209" s="82" t="s">
        <v>21</v>
      </c>
      <c r="L209" s="82" t="s">
        <v>36</v>
      </c>
      <c r="M209" s="83">
        <v>45177</v>
      </c>
      <c r="N209" s="84">
        <v>299.95</v>
      </c>
    </row>
    <row r="210" spans="1:14" ht="29.4" customHeight="1" thickBot="1">
      <c r="A210" s="82" t="s">
        <v>355</v>
      </c>
      <c r="B210" s="83">
        <v>45701</v>
      </c>
      <c r="C210" s="82" t="s">
        <v>108</v>
      </c>
      <c r="D210" s="82" t="s">
        <v>109</v>
      </c>
      <c r="E210" s="82" t="s">
        <v>114</v>
      </c>
      <c r="F210" s="82" t="s">
        <v>115</v>
      </c>
      <c r="G210" s="82" t="s">
        <v>33</v>
      </c>
      <c r="H210" s="84">
        <v>3</v>
      </c>
      <c r="I210" s="84">
        <v>79.989999999999995</v>
      </c>
      <c r="J210" s="82" t="s">
        <v>20</v>
      </c>
      <c r="K210" s="82" t="s">
        <v>63</v>
      </c>
      <c r="L210" s="82" t="s">
        <v>27</v>
      </c>
      <c r="M210" s="83">
        <v>44436</v>
      </c>
      <c r="N210" s="84">
        <v>239.97</v>
      </c>
    </row>
    <row r="211" spans="1:14" ht="29.4" customHeight="1" thickBot="1">
      <c r="A211" s="82" t="s">
        <v>356</v>
      </c>
      <c r="B211" s="83">
        <v>45704</v>
      </c>
      <c r="C211" s="82" t="s">
        <v>29</v>
      </c>
      <c r="D211" s="82" t="s">
        <v>30</v>
      </c>
      <c r="E211" s="82" t="s">
        <v>126</v>
      </c>
      <c r="F211" s="82" t="s">
        <v>127</v>
      </c>
      <c r="G211" s="82" t="s">
        <v>46</v>
      </c>
      <c r="H211" s="84">
        <v>3</v>
      </c>
      <c r="I211" s="84">
        <v>199.99</v>
      </c>
      <c r="J211" s="82" t="s">
        <v>20</v>
      </c>
      <c r="K211" s="82" t="s">
        <v>21</v>
      </c>
      <c r="L211" s="82" t="s">
        <v>22</v>
      </c>
      <c r="M211" s="83">
        <v>44735</v>
      </c>
      <c r="N211" s="84">
        <v>599.97</v>
      </c>
    </row>
    <row r="212" spans="1:14" ht="29.4" customHeight="1" thickBot="1">
      <c r="A212" s="82" t="s">
        <v>357</v>
      </c>
      <c r="B212" s="83">
        <v>45704</v>
      </c>
      <c r="C212" s="82" t="s">
        <v>15</v>
      </c>
      <c r="D212" s="82" t="s">
        <v>16</v>
      </c>
      <c r="E212" s="82" t="s">
        <v>117</v>
      </c>
      <c r="F212" s="82" t="s">
        <v>118</v>
      </c>
      <c r="G212" s="82" t="s">
        <v>19</v>
      </c>
      <c r="H212" s="84">
        <v>2</v>
      </c>
      <c r="I212" s="84">
        <v>89.99</v>
      </c>
      <c r="J212" s="82" t="s">
        <v>34</v>
      </c>
      <c r="K212" s="82" t="s">
        <v>21</v>
      </c>
      <c r="L212" s="82" t="s">
        <v>22</v>
      </c>
      <c r="M212" s="83">
        <v>45257</v>
      </c>
      <c r="N212" s="84">
        <v>179.98</v>
      </c>
    </row>
    <row r="213" spans="1:14" ht="29.4" customHeight="1" thickBot="1">
      <c r="A213" s="82" t="s">
        <v>358</v>
      </c>
      <c r="B213" s="83">
        <v>45705</v>
      </c>
      <c r="C213" s="82" t="s">
        <v>259</v>
      </c>
      <c r="D213" s="82" t="s">
        <v>260</v>
      </c>
      <c r="E213" s="82" t="s">
        <v>44</v>
      </c>
      <c r="F213" s="82" t="s">
        <v>45</v>
      </c>
      <c r="G213" s="82" t="s">
        <v>46</v>
      </c>
      <c r="H213" s="84">
        <v>2</v>
      </c>
      <c r="I213" s="84">
        <v>149.99</v>
      </c>
      <c r="J213" s="82" t="s">
        <v>20</v>
      </c>
      <c r="K213" s="82" t="s">
        <v>35</v>
      </c>
      <c r="L213" s="82" t="s">
        <v>27</v>
      </c>
      <c r="M213" s="83">
        <v>44728</v>
      </c>
      <c r="N213" s="84">
        <v>299.98</v>
      </c>
    </row>
    <row r="214" spans="1:14" ht="29.4" customHeight="1" thickBot="1">
      <c r="A214" s="82" t="s">
        <v>359</v>
      </c>
      <c r="B214" s="83">
        <v>45707</v>
      </c>
      <c r="C214" s="82" t="s">
        <v>123</v>
      </c>
      <c r="D214" s="82" t="s">
        <v>124</v>
      </c>
      <c r="E214" s="82" t="s">
        <v>80</v>
      </c>
      <c r="F214" s="82" t="s">
        <v>81</v>
      </c>
      <c r="G214" s="82" t="s">
        <v>19</v>
      </c>
      <c r="H214" s="84">
        <v>5</v>
      </c>
      <c r="I214" s="84">
        <v>699.99</v>
      </c>
      <c r="J214" s="82" t="s">
        <v>34</v>
      </c>
      <c r="K214" s="82" t="s">
        <v>35</v>
      </c>
      <c r="L214" s="82" t="s">
        <v>27</v>
      </c>
      <c r="M214" s="83">
        <v>45352</v>
      </c>
      <c r="N214" s="84">
        <v>3499.95</v>
      </c>
    </row>
    <row r="215" spans="1:14" ht="29.4" customHeight="1" thickBot="1">
      <c r="A215" s="82" t="s">
        <v>360</v>
      </c>
      <c r="B215" s="83">
        <v>45707</v>
      </c>
      <c r="C215" s="82" t="s">
        <v>42</v>
      </c>
      <c r="D215" s="82" t="s">
        <v>43</v>
      </c>
      <c r="E215" s="82" t="s">
        <v>44</v>
      </c>
      <c r="F215" s="82" t="s">
        <v>45</v>
      </c>
      <c r="G215" s="82" t="s">
        <v>46</v>
      </c>
      <c r="H215" s="84">
        <v>3</v>
      </c>
      <c r="I215" s="84">
        <v>149.99</v>
      </c>
      <c r="J215" s="82" t="s">
        <v>34</v>
      </c>
      <c r="K215" s="82" t="s">
        <v>21</v>
      </c>
      <c r="L215" s="82" t="s">
        <v>36</v>
      </c>
      <c r="M215" s="83">
        <v>44633</v>
      </c>
      <c r="N215" s="84">
        <v>449.97</v>
      </c>
    </row>
    <row r="216" spans="1:14" ht="29.4" customHeight="1" thickBot="1">
      <c r="A216" s="82" t="s">
        <v>361</v>
      </c>
      <c r="B216" s="83">
        <v>45708</v>
      </c>
      <c r="C216" s="82" t="s">
        <v>96</v>
      </c>
      <c r="D216" s="82" t="s">
        <v>97</v>
      </c>
      <c r="E216" s="82" t="s">
        <v>61</v>
      </c>
      <c r="F216" s="82" t="s">
        <v>62</v>
      </c>
      <c r="G216" s="82" t="s">
        <v>19</v>
      </c>
      <c r="H216" s="84">
        <v>3</v>
      </c>
      <c r="I216" s="84">
        <v>899.99</v>
      </c>
      <c r="J216" s="82" t="s">
        <v>20</v>
      </c>
      <c r="K216" s="82" t="s">
        <v>63</v>
      </c>
      <c r="L216" s="82" t="s">
        <v>36</v>
      </c>
      <c r="M216" s="83">
        <v>44613</v>
      </c>
      <c r="N216" s="84">
        <v>2699.97</v>
      </c>
    </row>
    <row r="217" spans="1:14" ht="29.4" customHeight="1" thickBot="1">
      <c r="A217" s="82" t="s">
        <v>362</v>
      </c>
      <c r="B217" s="83">
        <v>45708</v>
      </c>
      <c r="C217" s="82" t="s">
        <v>192</v>
      </c>
      <c r="D217" s="82" t="s">
        <v>193</v>
      </c>
      <c r="E217" s="82" t="s">
        <v>126</v>
      </c>
      <c r="F217" s="82" t="s">
        <v>127</v>
      </c>
      <c r="G217" s="82" t="s">
        <v>46</v>
      </c>
      <c r="H217" s="84">
        <v>3</v>
      </c>
      <c r="I217" s="84">
        <v>199.99</v>
      </c>
      <c r="J217" s="82" t="s">
        <v>20</v>
      </c>
      <c r="K217" s="82" t="s">
        <v>50</v>
      </c>
      <c r="L217" s="82" t="s">
        <v>27</v>
      </c>
      <c r="M217" s="83">
        <v>44823</v>
      </c>
      <c r="N217" s="84">
        <v>599.97</v>
      </c>
    </row>
    <row r="218" spans="1:14" ht="29.4" customHeight="1" thickBot="1">
      <c r="A218" s="82" t="s">
        <v>363</v>
      </c>
      <c r="B218" s="83">
        <v>45710</v>
      </c>
      <c r="C218" s="82" t="s">
        <v>55</v>
      </c>
      <c r="D218" s="82" t="s">
        <v>56</v>
      </c>
      <c r="E218" s="82" t="s">
        <v>105</v>
      </c>
      <c r="F218" s="82" t="s">
        <v>106</v>
      </c>
      <c r="G218" s="82" t="s">
        <v>46</v>
      </c>
      <c r="H218" s="84">
        <v>5</v>
      </c>
      <c r="I218" s="84">
        <v>299.99</v>
      </c>
      <c r="J218" s="82" t="s">
        <v>20</v>
      </c>
      <c r="K218" s="82" t="s">
        <v>50</v>
      </c>
      <c r="L218" s="82" t="s">
        <v>36</v>
      </c>
      <c r="M218" s="83">
        <v>45142</v>
      </c>
      <c r="N218" s="84">
        <v>1499.95</v>
      </c>
    </row>
    <row r="219" spans="1:14" ht="29.4" customHeight="1" thickBot="1">
      <c r="A219" s="82" t="s">
        <v>364</v>
      </c>
      <c r="B219" s="83">
        <v>45710</v>
      </c>
      <c r="C219" s="82" t="s">
        <v>150</v>
      </c>
      <c r="D219" s="82" t="s">
        <v>151</v>
      </c>
      <c r="E219" s="82" t="s">
        <v>80</v>
      </c>
      <c r="F219" s="82" t="s">
        <v>81</v>
      </c>
      <c r="G219" s="82" t="s">
        <v>19</v>
      </c>
      <c r="H219" s="84">
        <v>1</v>
      </c>
      <c r="I219" s="84">
        <v>699.99</v>
      </c>
      <c r="J219" s="82" t="s">
        <v>34</v>
      </c>
      <c r="K219" s="82" t="s">
        <v>50</v>
      </c>
      <c r="L219" s="82" t="s">
        <v>22</v>
      </c>
      <c r="M219" s="83">
        <v>44934</v>
      </c>
      <c r="N219" s="84">
        <v>699.99</v>
      </c>
    </row>
    <row r="220" spans="1:14" ht="29.4" customHeight="1" thickBot="1">
      <c r="A220" s="82" t="s">
        <v>365</v>
      </c>
      <c r="B220" s="83">
        <v>45711</v>
      </c>
      <c r="C220" s="82" t="s">
        <v>246</v>
      </c>
      <c r="D220" s="82" t="s">
        <v>247</v>
      </c>
      <c r="E220" s="82" t="s">
        <v>80</v>
      </c>
      <c r="F220" s="82" t="s">
        <v>81</v>
      </c>
      <c r="G220" s="82" t="s">
        <v>19</v>
      </c>
      <c r="H220" s="84">
        <v>1</v>
      </c>
      <c r="I220" s="84">
        <v>699.99</v>
      </c>
      <c r="J220" s="82" t="s">
        <v>20</v>
      </c>
      <c r="K220" s="82" t="s">
        <v>40</v>
      </c>
      <c r="L220" s="82" t="s">
        <v>27</v>
      </c>
      <c r="M220" s="83">
        <v>44583</v>
      </c>
      <c r="N220" s="84">
        <v>699.99</v>
      </c>
    </row>
    <row r="221" spans="1:14" ht="29.4" customHeight="1" thickBot="1">
      <c r="A221" s="82" t="s">
        <v>366</v>
      </c>
      <c r="B221" s="83">
        <v>45711</v>
      </c>
      <c r="C221" s="82" t="s">
        <v>325</v>
      </c>
      <c r="D221" s="82" t="s">
        <v>326</v>
      </c>
      <c r="E221" s="82" t="s">
        <v>44</v>
      </c>
      <c r="F221" s="82" t="s">
        <v>45</v>
      </c>
      <c r="G221" s="82" t="s">
        <v>46</v>
      </c>
      <c r="H221" s="84">
        <v>4</v>
      </c>
      <c r="I221" s="84">
        <v>149.99</v>
      </c>
      <c r="J221" s="82" t="s">
        <v>34</v>
      </c>
      <c r="K221" s="82" t="s">
        <v>40</v>
      </c>
      <c r="L221" s="82" t="s">
        <v>27</v>
      </c>
      <c r="M221" s="83">
        <v>44412</v>
      </c>
      <c r="N221" s="84">
        <v>599.96</v>
      </c>
    </row>
    <row r="222" spans="1:14" ht="29.4" customHeight="1" thickBot="1">
      <c r="A222" s="82" t="s">
        <v>367</v>
      </c>
      <c r="B222" s="83">
        <v>45711</v>
      </c>
      <c r="C222" s="82" t="s">
        <v>211</v>
      </c>
      <c r="D222" s="82" t="s">
        <v>212</v>
      </c>
      <c r="E222" s="82" t="s">
        <v>117</v>
      </c>
      <c r="F222" s="82" t="s">
        <v>118</v>
      </c>
      <c r="G222" s="82" t="s">
        <v>19</v>
      </c>
      <c r="H222" s="84">
        <v>5</v>
      </c>
      <c r="I222" s="84">
        <v>89.99</v>
      </c>
      <c r="J222" s="82" t="s">
        <v>34</v>
      </c>
      <c r="K222" s="82" t="s">
        <v>50</v>
      </c>
      <c r="L222" s="82" t="s">
        <v>27</v>
      </c>
      <c r="M222" s="83">
        <v>45140</v>
      </c>
      <c r="N222" s="84">
        <v>449.95</v>
      </c>
    </row>
    <row r="223" spans="1:14" ht="29.4" customHeight="1" thickBot="1">
      <c r="A223" s="82" t="s">
        <v>368</v>
      </c>
      <c r="B223" s="83">
        <v>45712</v>
      </c>
      <c r="C223" s="82" t="s">
        <v>138</v>
      </c>
      <c r="D223" s="82" t="s">
        <v>139</v>
      </c>
      <c r="E223" s="82" t="s">
        <v>126</v>
      </c>
      <c r="F223" s="82" t="s">
        <v>127</v>
      </c>
      <c r="G223" s="82" t="s">
        <v>46</v>
      </c>
      <c r="H223" s="84">
        <v>2</v>
      </c>
      <c r="I223" s="84">
        <v>199.99</v>
      </c>
      <c r="J223" s="82" t="s">
        <v>20</v>
      </c>
      <c r="K223" s="82" t="s">
        <v>21</v>
      </c>
      <c r="L223" s="82" t="s">
        <v>27</v>
      </c>
      <c r="M223" s="83">
        <v>44573</v>
      </c>
      <c r="N223" s="84">
        <v>399.98</v>
      </c>
    </row>
    <row r="224" spans="1:14" ht="29.4" customHeight="1" thickBot="1">
      <c r="A224" s="82" t="s">
        <v>369</v>
      </c>
      <c r="B224" s="83">
        <v>45715</v>
      </c>
      <c r="C224" s="82" t="s">
        <v>259</v>
      </c>
      <c r="D224" s="82" t="s">
        <v>260</v>
      </c>
      <c r="E224" s="82" t="s">
        <v>31</v>
      </c>
      <c r="F224" s="82" t="s">
        <v>32</v>
      </c>
      <c r="G224" s="82" t="s">
        <v>33</v>
      </c>
      <c r="H224" s="84">
        <v>4</v>
      </c>
      <c r="I224" s="84">
        <v>59.99</v>
      </c>
      <c r="J224" s="82" t="s">
        <v>20</v>
      </c>
      <c r="K224" s="82" t="s">
        <v>50</v>
      </c>
      <c r="L224" s="82" t="s">
        <v>36</v>
      </c>
      <c r="M224" s="83">
        <v>45070</v>
      </c>
      <c r="N224" s="84">
        <v>239.96</v>
      </c>
    </row>
    <row r="225" spans="1:14" ht="29.4" customHeight="1" thickBot="1">
      <c r="A225" s="82" t="s">
        <v>370</v>
      </c>
      <c r="B225" s="83">
        <v>45715</v>
      </c>
      <c r="C225" s="82" t="s">
        <v>93</v>
      </c>
      <c r="D225" s="82" t="s">
        <v>94</v>
      </c>
      <c r="E225" s="82" t="s">
        <v>105</v>
      </c>
      <c r="F225" s="82" t="s">
        <v>106</v>
      </c>
      <c r="G225" s="82" t="s">
        <v>46</v>
      </c>
      <c r="H225" s="84">
        <v>2</v>
      </c>
      <c r="I225" s="84">
        <v>299.99</v>
      </c>
      <c r="J225" s="82" t="s">
        <v>34</v>
      </c>
      <c r="K225" s="82" t="s">
        <v>35</v>
      </c>
      <c r="L225" s="82" t="s">
        <v>22</v>
      </c>
      <c r="M225" s="83">
        <v>44576</v>
      </c>
      <c r="N225" s="84">
        <v>599.98</v>
      </c>
    </row>
    <row r="226" spans="1:14" ht="29.4" customHeight="1" thickBot="1">
      <c r="A226" s="82" t="s">
        <v>371</v>
      </c>
      <c r="B226" s="83">
        <v>45718</v>
      </c>
      <c r="C226" s="82" t="s">
        <v>55</v>
      </c>
      <c r="D226" s="82" t="s">
        <v>56</v>
      </c>
      <c r="E226" s="82" t="s">
        <v>44</v>
      </c>
      <c r="F226" s="82" t="s">
        <v>45</v>
      </c>
      <c r="G226" s="82" t="s">
        <v>46</v>
      </c>
      <c r="H226" s="84">
        <v>2</v>
      </c>
      <c r="I226" s="84">
        <v>149.99</v>
      </c>
      <c r="J226" s="82" t="s">
        <v>20</v>
      </c>
      <c r="K226" s="82" t="s">
        <v>21</v>
      </c>
      <c r="L226" s="82" t="s">
        <v>22</v>
      </c>
      <c r="M226" s="83">
        <v>45068</v>
      </c>
      <c r="N226" s="84">
        <v>299.98</v>
      </c>
    </row>
    <row r="227" spans="1:14" ht="29.4" customHeight="1" thickBot="1">
      <c r="A227" s="82" t="s">
        <v>372</v>
      </c>
      <c r="B227" s="83">
        <v>45720</v>
      </c>
      <c r="C227" s="82" t="s">
        <v>226</v>
      </c>
      <c r="D227" s="82" t="s">
        <v>227</v>
      </c>
      <c r="E227" s="82" t="s">
        <v>80</v>
      </c>
      <c r="F227" s="82" t="s">
        <v>81</v>
      </c>
      <c r="G227" s="82" t="s">
        <v>19</v>
      </c>
      <c r="H227" s="84">
        <v>5</v>
      </c>
      <c r="I227" s="84">
        <v>699.99</v>
      </c>
      <c r="J227" s="82" t="s">
        <v>57</v>
      </c>
      <c r="K227" s="82" t="s">
        <v>63</v>
      </c>
      <c r="L227" s="82" t="s">
        <v>27</v>
      </c>
      <c r="M227" s="83">
        <v>45161</v>
      </c>
      <c r="N227" s="84">
        <v>3499.95</v>
      </c>
    </row>
    <row r="228" spans="1:14" ht="29.4" customHeight="1" thickBot="1">
      <c r="A228" s="82" t="s">
        <v>373</v>
      </c>
      <c r="B228" s="83">
        <v>45721</v>
      </c>
      <c r="C228" s="82" t="s">
        <v>75</v>
      </c>
      <c r="D228" s="82" t="s">
        <v>76</v>
      </c>
      <c r="E228" s="82" t="s">
        <v>31</v>
      </c>
      <c r="F228" s="82" t="s">
        <v>32</v>
      </c>
      <c r="G228" s="82" t="s">
        <v>33</v>
      </c>
      <c r="H228" s="84">
        <v>5</v>
      </c>
      <c r="I228" s="84">
        <v>59.99</v>
      </c>
      <c r="J228" s="82" t="s">
        <v>20</v>
      </c>
      <c r="K228" s="82" t="s">
        <v>50</v>
      </c>
      <c r="L228" s="82" t="s">
        <v>27</v>
      </c>
      <c r="M228" s="83">
        <v>45291</v>
      </c>
      <c r="N228" s="84">
        <v>299.95</v>
      </c>
    </row>
    <row r="229" spans="1:14" ht="29.4" customHeight="1" thickBot="1">
      <c r="A229" s="82" t="s">
        <v>374</v>
      </c>
      <c r="B229" s="83">
        <v>45723</v>
      </c>
      <c r="C229" s="82" t="s">
        <v>15</v>
      </c>
      <c r="D229" s="82" t="s">
        <v>16</v>
      </c>
      <c r="E229" s="82" t="s">
        <v>117</v>
      </c>
      <c r="F229" s="82" t="s">
        <v>118</v>
      </c>
      <c r="G229" s="82" t="s">
        <v>19</v>
      </c>
      <c r="H229" s="84">
        <v>2</v>
      </c>
      <c r="I229" s="84">
        <v>89.99</v>
      </c>
      <c r="J229" s="82" t="s">
        <v>26</v>
      </c>
      <c r="K229" s="82" t="s">
        <v>50</v>
      </c>
      <c r="L229" s="82" t="s">
        <v>27</v>
      </c>
      <c r="M229" s="83">
        <v>45295</v>
      </c>
      <c r="N229" s="84">
        <v>179.98</v>
      </c>
    </row>
    <row r="230" spans="1:14" ht="29.4" customHeight="1" thickBot="1">
      <c r="A230" s="82" t="s">
        <v>375</v>
      </c>
      <c r="B230" s="83">
        <v>45723</v>
      </c>
      <c r="C230" s="82" t="s">
        <v>120</v>
      </c>
      <c r="D230" s="82" t="s">
        <v>121</v>
      </c>
      <c r="E230" s="82" t="s">
        <v>17</v>
      </c>
      <c r="F230" s="82" t="s">
        <v>18</v>
      </c>
      <c r="G230" s="82" t="s">
        <v>19</v>
      </c>
      <c r="H230" s="84">
        <v>5</v>
      </c>
      <c r="I230" s="84">
        <v>249.99</v>
      </c>
      <c r="J230" s="82" t="s">
        <v>20</v>
      </c>
      <c r="K230" s="82" t="s">
        <v>63</v>
      </c>
      <c r="L230" s="82" t="s">
        <v>36</v>
      </c>
      <c r="M230" s="83">
        <v>44540</v>
      </c>
      <c r="N230" s="84">
        <v>1249.95</v>
      </c>
    </row>
    <row r="231" spans="1:14" ht="29.4" customHeight="1" thickBot="1">
      <c r="A231" s="82" t="s">
        <v>376</v>
      </c>
      <c r="B231" s="83">
        <v>45724</v>
      </c>
      <c r="C231" s="82" t="s">
        <v>226</v>
      </c>
      <c r="D231" s="82" t="s">
        <v>227</v>
      </c>
      <c r="E231" s="82" t="s">
        <v>44</v>
      </c>
      <c r="F231" s="82" t="s">
        <v>45</v>
      </c>
      <c r="G231" s="82" t="s">
        <v>46</v>
      </c>
      <c r="H231" s="84">
        <v>2</v>
      </c>
      <c r="I231" s="84">
        <v>149.99</v>
      </c>
      <c r="J231" s="82" t="s">
        <v>34</v>
      </c>
      <c r="K231" s="82" t="s">
        <v>21</v>
      </c>
      <c r="L231" s="82" t="s">
        <v>27</v>
      </c>
      <c r="M231" s="83">
        <v>44632</v>
      </c>
      <c r="N231" s="84">
        <v>299.98</v>
      </c>
    </row>
    <row r="232" spans="1:14" ht="29.4" customHeight="1" thickBot="1">
      <c r="A232" s="82" t="s">
        <v>377</v>
      </c>
      <c r="B232" s="83">
        <v>45724</v>
      </c>
      <c r="C232" s="82" t="s">
        <v>144</v>
      </c>
      <c r="D232" s="82" t="s">
        <v>145</v>
      </c>
      <c r="E232" s="82" t="s">
        <v>61</v>
      </c>
      <c r="F232" s="82" t="s">
        <v>62</v>
      </c>
      <c r="G232" s="82" t="s">
        <v>19</v>
      </c>
      <c r="H232" s="84">
        <v>5</v>
      </c>
      <c r="I232" s="84">
        <v>899.99</v>
      </c>
      <c r="J232" s="82" t="s">
        <v>34</v>
      </c>
      <c r="K232" s="82" t="s">
        <v>63</v>
      </c>
      <c r="L232" s="82" t="s">
        <v>27</v>
      </c>
      <c r="M232" s="83">
        <v>45389</v>
      </c>
      <c r="N232" s="84">
        <v>4499.95</v>
      </c>
    </row>
    <row r="233" spans="1:14" ht="29.4" customHeight="1" thickBot="1">
      <c r="A233" s="82" t="s">
        <v>378</v>
      </c>
      <c r="B233" s="83">
        <v>45724</v>
      </c>
      <c r="C233" s="82" t="s">
        <v>55</v>
      </c>
      <c r="D233" s="82" t="s">
        <v>56</v>
      </c>
      <c r="E233" s="82" t="s">
        <v>44</v>
      </c>
      <c r="F233" s="82" t="s">
        <v>45</v>
      </c>
      <c r="G233" s="82" t="s">
        <v>46</v>
      </c>
      <c r="H233" s="84">
        <v>4</v>
      </c>
      <c r="I233" s="84">
        <v>149.99</v>
      </c>
      <c r="J233" s="82" t="s">
        <v>20</v>
      </c>
      <c r="K233" s="82" t="s">
        <v>21</v>
      </c>
      <c r="L233" s="82" t="s">
        <v>36</v>
      </c>
      <c r="M233" s="83">
        <v>45263</v>
      </c>
      <c r="N233" s="84">
        <v>599.96</v>
      </c>
    </row>
    <row r="234" spans="1:14" ht="29.4" customHeight="1" thickBot="1">
      <c r="A234" s="82" t="s">
        <v>379</v>
      </c>
      <c r="B234" s="83">
        <v>45726</v>
      </c>
      <c r="C234" s="82" t="s">
        <v>144</v>
      </c>
      <c r="D234" s="82" t="s">
        <v>145</v>
      </c>
      <c r="E234" s="82" t="s">
        <v>17</v>
      </c>
      <c r="F234" s="82" t="s">
        <v>18</v>
      </c>
      <c r="G234" s="82" t="s">
        <v>19</v>
      </c>
      <c r="H234" s="84">
        <v>1</v>
      </c>
      <c r="I234" s="84">
        <v>249.99</v>
      </c>
      <c r="J234" s="82" t="s">
        <v>20</v>
      </c>
      <c r="K234" s="82" t="s">
        <v>40</v>
      </c>
      <c r="L234" s="82" t="s">
        <v>36</v>
      </c>
      <c r="M234" s="83">
        <v>45117</v>
      </c>
      <c r="N234" s="84">
        <v>249.99</v>
      </c>
    </row>
    <row r="235" spans="1:14" ht="29.4" customHeight="1" thickBot="1">
      <c r="A235" s="82" t="s">
        <v>380</v>
      </c>
      <c r="B235" s="83">
        <v>45734</v>
      </c>
      <c r="C235" s="82" t="s">
        <v>192</v>
      </c>
      <c r="D235" s="82" t="s">
        <v>193</v>
      </c>
      <c r="E235" s="82" t="s">
        <v>31</v>
      </c>
      <c r="F235" s="82" t="s">
        <v>32</v>
      </c>
      <c r="G235" s="82" t="s">
        <v>33</v>
      </c>
      <c r="H235" s="84">
        <v>2</v>
      </c>
      <c r="I235" s="84">
        <v>59.99</v>
      </c>
      <c r="J235" s="82" t="s">
        <v>26</v>
      </c>
      <c r="K235" s="82" t="s">
        <v>50</v>
      </c>
      <c r="L235" s="82" t="s">
        <v>22</v>
      </c>
      <c r="M235" s="83">
        <v>45193</v>
      </c>
      <c r="N235" s="84">
        <v>119.98</v>
      </c>
    </row>
    <row r="236" spans="1:14" ht="29.4" customHeight="1" thickBot="1">
      <c r="A236" s="82" t="s">
        <v>381</v>
      </c>
      <c r="B236" s="83">
        <v>45737</v>
      </c>
      <c r="C236" s="82" t="s">
        <v>132</v>
      </c>
      <c r="D236" s="82" t="s">
        <v>133</v>
      </c>
      <c r="E236" s="82" t="s">
        <v>44</v>
      </c>
      <c r="F236" s="82" t="s">
        <v>45</v>
      </c>
      <c r="G236" s="82" t="s">
        <v>46</v>
      </c>
      <c r="H236" s="84">
        <v>2</v>
      </c>
      <c r="I236" s="84">
        <v>149.99</v>
      </c>
      <c r="J236" s="82" t="s">
        <v>20</v>
      </c>
      <c r="K236" s="82" t="s">
        <v>50</v>
      </c>
      <c r="L236" s="82" t="s">
        <v>27</v>
      </c>
      <c r="M236" s="83">
        <v>45233</v>
      </c>
      <c r="N236" s="84">
        <v>299.98</v>
      </c>
    </row>
    <row r="237" spans="1:14" ht="29.4" customHeight="1" thickBot="1">
      <c r="A237" s="82" t="s">
        <v>382</v>
      </c>
      <c r="B237" s="83">
        <v>45737</v>
      </c>
      <c r="C237" s="82" t="s">
        <v>150</v>
      </c>
      <c r="D237" s="82" t="s">
        <v>151</v>
      </c>
      <c r="E237" s="82" t="s">
        <v>61</v>
      </c>
      <c r="F237" s="82" t="s">
        <v>62</v>
      </c>
      <c r="G237" s="82" t="s">
        <v>19</v>
      </c>
      <c r="H237" s="84">
        <v>3</v>
      </c>
      <c r="I237" s="84">
        <v>899.99</v>
      </c>
      <c r="J237" s="82" t="s">
        <v>57</v>
      </c>
      <c r="K237" s="82" t="s">
        <v>40</v>
      </c>
      <c r="L237" s="82" t="s">
        <v>27</v>
      </c>
      <c r="M237" s="83">
        <v>44876</v>
      </c>
      <c r="N237" s="84">
        <v>2699.97</v>
      </c>
    </row>
    <row r="238" spans="1:14" ht="29.4" customHeight="1" thickBot="1">
      <c r="A238" s="82" t="s">
        <v>383</v>
      </c>
      <c r="B238" s="83">
        <v>45737</v>
      </c>
      <c r="C238" s="82" t="s">
        <v>48</v>
      </c>
      <c r="D238" s="82" t="s">
        <v>49</v>
      </c>
      <c r="E238" s="82" t="s">
        <v>61</v>
      </c>
      <c r="F238" s="82" t="s">
        <v>62</v>
      </c>
      <c r="G238" s="82" t="s">
        <v>19</v>
      </c>
      <c r="H238" s="84">
        <v>3</v>
      </c>
      <c r="I238" s="84">
        <v>899.99</v>
      </c>
      <c r="J238" s="82" t="s">
        <v>34</v>
      </c>
      <c r="K238" s="82" t="s">
        <v>40</v>
      </c>
      <c r="L238" s="82" t="s">
        <v>22</v>
      </c>
      <c r="M238" s="83">
        <v>44975</v>
      </c>
      <c r="N238" s="84">
        <v>2699.97</v>
      </c>
    </row>
    <row r="239" spans="1:14" ht="29.4" customHeight="1" thickBot="1">
      <c r="A239" s="82" t="s">
        <v>384</v>
      </c>
      <c r="B239" s="83">
        <v>45739</v>
      </c>
      <c r="C239" s="82" t="s">
        <v>15</v>
      </c>
      <c r="D239" s="82" t="s">
        <v>16</v>
      </c>
      <c r="E239" s="82" t="s">
        <v>105</v>
      </c>
      <c r="F239" s="82" t="s">
        <v>106</v>
      </c>
      <c r="G239" s="82" t="s">
        <v>46</v>
      </c>
      <c r="H239" s="84">
        <v>3</v>
      </c>
      <c r="I239" s="84">
        <v>299.99</v>
      </c>
      <c r="J239" s="82" t="s">
        <v>26</v>
      </c>
      <c r="K239" s="82" t="s">
        <v>50</v>
      </c>
      <c r="L239" s="82" t="s">
        <v>27</v>
      </c>
      <c r="M239" s="83">
        <v>45234</v>
      </c>
      <c r="N239" s="84">
        <v>899.97</v>
      </c>
    </row>
    <row r="240" spans="1:14" ht="29.4" customHeight="1" thickBot="1">
      <c r="A240" s="82" t="s">
        <v>385</v>
      </c>
      <c r="B240" s="83">
        <v>45740</v>
      </c>
      <c r="C240" s="82" t="s">
        <v>386</v>
      </c>
      <c r="D240" s="82" t="s">
        <v>387</v>
      </c>
      <c r="E240" s="82" t="s">
        <v>44</v>
      </c>
      <c r="F240" s="82" t="s">
        <v>45</v>
      </c>
      <c r="G240" s="82" t="s">
        <v>46</v>
      </c>
      <c r="H240" s="84">
        <v>4</v>
      </c>
      <c r="I240" s="84">
        <v>149.99</v>
      </c>
      <c r="J240" s="82" t="s">
        <v>34</v>
      </c>
      <c r="K240" s="82" t="s">
        <v>50</v>
      </c>
      <c r="L240" s="82" t="s">
        <v>36</v>
      </c>
      <c r="M240" s="83">
        <v>44560</v>
      </c>
      <c r="N240" s="84">
        <v>599.96</v>
      </c>
    </row>
    <row r="241" spans="1:14" ht="29.4" customHeight="1" thickBot="1">
      <c r="A241" s="82" t="s">
        <v>388</v>
      </c>
      <c r="B241" s="83">
        <v>45743</v>
      </c>
      <c r="C241" s="82" t="s">
        <v>102</v>
      </c>
      <c r="D241" s="82" t="s">
        <v>103</v>
      </c>
      <c r="E241" s="82" t="s">
        <v>114</v>
      </c>
      <c r="F241" s="82" t="s">
        <v>115</v>
      </c>
      <c r="G241" s="82" t="s">
        <v>33</v>
      </c>
      <c r="H241" s="84">
        <v>4</v>
      </c>
      <c r="I241" s="84">
        <v>79.989999999999995</v>
      </c>
      <c r="J241" s="82" t="s">
        <v>26</v>
      </c>
      <c r="K241" s="82" t="s">
        <v>21</v>
      </c>
      <c r="L241" s="82" t="s">
        <v>22</v>
      </c>
      <c r="M241" s="83">
        <v>45288</v>
      </c>
      <c r="N241" s="84">
        <v>319.95999999999998</v>
      </c>
    </row>
    <row r="242" spans="1:14" ht="29.4" customHeight="1" thickBot="1">
      <c r="A242" s="82" t="s">
        <v>389</v>
      </c>
      <c r="B242" s="83">
        <v>45745</v>
      </c>
      <c r="C242" s="82" t="s">
        <v>185</v>
      </c>
      <c r="D242" s="82" t="s">
        <v>186</v>
      </c>
      <c r="E242" s="82" t="s">
        <v>117</v>
      </c>
      <c r="F242" s="82" t="s">
        <v>118</v>
      </c>
      <c r="G242" s="82" t="s">
        <v>19</v>
      </c>
      <c r="H242" s="84">
        <v>5</v>
      </c>
      <c r="I242" s="84">
        <v>89.99</v>
      </c>
      <c r="J242" s="82" t="s">
        <v>34</v>
      </c>
      <c r="K242" s="82" t="s">
        <v>35</v>
      </c>
      <c r="L242" s="82" t="s">
        <v>22</v>
      </c>
      <c r="M242" s="83">
        <v>44704</v>
      </c>
      <c r="N242" s="84">
        <v>449.95</v>
      </c>
    </row>
    <row r="243" spans="1:14" ht="29.4" customHeight="1" thickBot="1">
      <c r="A243" s="82" t="s">
        <v>390</v>
      </c>
      <c r="B243" s="83">
        <v>45746</v>
      </c>
      <c r="C243" s="82" t="s">
        <v>93</v>
      </c>
      <c r="D243" s="82" t="s">
        <v>94</v>
      </c>
      <c r="E243" s="82" t="s">
        <v>44</v>
      </c>
      <c r="F243" s="82" t="s">
        <v>45</v>
      </c>
      <c r="G243" s="82" t="s">
        <v>46</v>
      </c>
      <c r="H243" s="84">
        <v>3</v>
      </c>
      <c r="I243" s="84">
        <v>149.99</v>
      </c>
      <c r="J243" s="82" t="s">
        <v>34</v>
      </c>
      <c r="K243" s="82" t="s">
        <v>21</v>
      </c>
      <c r="L243" s="82" t="s">
        <v>36</v>
      </c>
      <c r="M243" s="83">
        <v>45171</v>
      </c>
      <c r="N243" s="84">
        <v>449.97</v>
      </c>
    </row>
    <row r="244" spans="1:14" ht="29.4" customHeight="1" thickBot="1">
      <c r="A244" s="82" t="s">
        <v>391</v>
      </c>
      <c r="B244" s="83">
        <v>45746</v>
      </c>
      <c r="C244" s="82" t="s">
        <v>65</v>
      </c>
      <c r="D244" s="82" t="s">
        <v>66</v>
      </c>
      <c r="E244" s="82" t="s">
        <v>117</v>
      </c>
      <c r="F244" s="82" t="s">
        <v>118</v>
      </c>
      <c r="G244" s="82" t="s">
        <v>19</v>
      </c>
      <c r="H244" s="84">
        <v>2</v>
      </c>
      <c r="I244" s="84">
        <v>89.99</v>
      </c>
      <c r="J244" s="82" t="s">
        <v>57</v>
      </c>
      <c r="K244" s="82" t="s">
        <v>50</v>
      </c>
      <c r="L244" s="82" t="s">
        <v>27</v>
      </c>
      <c r="M244" s="83">
        <v>44522</v>
      </c>
      <c r="N244" s="84">
        <v>179.98</v>
      </c>
    </row>
    <row r="245" spans="1:14" ht="29.4" customHeight="1" thickBot="1">
      <c r="A245" s="82" t="s">
        <v>392</v>
      </c>
      <c r="B245" s="83">
        <v>45748</v>
      </c>
      <c r="C245" s="82" t="s">
        <v>102</v>
      </c>
      <c r="D245" s="82" t="s">
        <v>103</v>
      </c>
      <c r="E245" s="82" t="s">
        <v>80</v>
      </c>
      <c r="F245" s="82" t="s">
        <v>81</v>
      </c>
      <c r="G245" s="82" t="s">
        <v>19</v>
      </c>
      <c r="H245" s="84">
        <v>2</v>
      </c>
      <c r="I245" s="84">
        <v>699.99</v>
      </c>
      <c r="J245" s="82" t="s">
        <v>34</v>
      </c>
      <c r="K245" s="82" t="s">
        <v>40</v>
      </c>
      <c r="L245" s="82" t="s">
        <v>36</v>
      </c>
      <c r="M245" s="83">
        <v>44618</v>
      </c>
      <c r="N245" s="84">
        <v>1399.98</v>
      </c>
    </row>
    <row r="246" spans="1:14" ht="29.4" customHeight="1" thickBot="1">
      <c r="A246" s="82" t="s">
        <v>393</v>
      </c>
      <c r="B246" s="83">
        <v>45749</v>
      </c>
      <c r="C246" s="82" t="s">
        <v>123</v>
      </c>
      <c r="D246" s="82" t="s">
        <v>124</v>
      </c>
      <c r="E246" s="82" t="s">
        <v>61</v>
      </c>
      <c r="F246" s="82" t="s">
        <v>62</v>
      </c>
      <c r="G246" s="82" t="s">
        <v>19</v>
      </c>
      <c r="H246" s="84">
        <v>3</v>
      </c>
      <c r="I246" s="84">
        <v>899.99</v>
      </c>
      <c r="J246" s="82" t="s">
        <v>20</v>
      </c>
      <c r="K246" s="82" t="s">
        <v>21</v>
      </c>
      <c r="L246" s="82" t="s">
        <v>36</v>
      </c>
      <c r="M246" s="83">
        <v>44953</v>
      </c>
      <c r="N246" s="84">
        <v>2699.97</v>
      </c>
    </row>
    <row r="247" spans="1:14" ht="29.4" customHeight="1" thickBot="1">
      <c r="A247" s="82" t="s">
        <v>394</v>
      </c>
      <c r="B247" s="83">
        <v>45755</v>
      </c>
      <c r="C247" s="82" t="s">
        <v>93</v>
      </c>
      <c r="D247" s="82" t="s">
        <v>94</v>
      </c>
      <c r="E247" s="82" t="s">
        <v>114</v>
      </c>
      <c r="F247" s="82" t="s">
        <v>115</v>
      </c>
      <c r="G247" s="82" t="s">
        <v>33</v>
      </c>
      <c r="H247" s="84">
        <v>3</v>
      </c>
      <c r="I247" s="84">
        <v>79.989999999999995</v>
      </c>
      <c r="J247" s="82" t="s">
        <v>26</v>
      </c>
      <c r="K247" s="82" t="s">
        <v>40</v>
      </c>
      <c r="L247" s="82" t="s">
        <v>22</v>
      </c>
      <c r="M247" s="83">
        <v>44511</v>
      </c>
      <c r="N247" s="84">
        <v>239.97</v>
      </c>
    </row>
    <row r="248" spans="1:14" ht="29.4" customHeight="1" thickBot="1">
      <c r="A248" s="82" t="s">
        <v>395</v>
      </c>
      <c r="B248" s="83">
        <v>45756</v>
      </c>
      <c r="C248" s="82" t="s">
        <v>59</v>
      </c>
      <c r="D248" s="82" t="s">
        <v>60</v>
      </c>
      <c r="E248" s="82" t="s">
        <v>117</v>
      </c>
      <c r="F248" s="82" t="s">
        <v>118</v>
      </c>
      <c r="G248" s="82" t="s">
        <v>19</v>
      </c>
      <c r="H248" s="84">
        <v>1</v>
      </c>
      <c r="I248" s="84">
        <v>89.99</v>
      </c>
      <c r="J248" s="82" t="s">
        <v>57</v>
      </c>
      <c r="K248" s="82" t="s">
        <v>63</v>
      </c>
      <c r="L248" s="82" t="s">
        <v>22</v>
      </c>
      <c r="M248" s="83">
        <v>45346</v>
      </c>
      <c r="N248" s="84">
        <v>89.99</v>
      </c>
    </row>
    <row r="249" spans="1:14" ht="29.4" customHeight="1" thickBot="1">
      <c r="A249" s="82" t="s">
        <v>396</v>
      </c>
      <c r="B249" s="83">
        <v>45758</v>
      </c>
      <c r="C249" s="82" t="s">
        <v>293</v>
      </c>
      <c r="D249" s="82" t="s">
        <v>294</v>
      </c>
      <c r="E249" s="82" t="s">
        <v>80</v>
      </c>
      <c r="F249" s="82" t="s">
        <v>81</v>
      </c>
      <c r="G249" s="82" t="s">
        <v>19</v>
      </c>
      <c r="H249" s="84">
        <v>3</v>
      </c>
      <c r="I249" s="84">
        <v>699.99</v>
      </c>
      <c r="J249" s="82" t="s">
        <v>34</v>
      </c>
      <c r="K249" s="82" t="s">
        <v>40</v>
      </c>
      <c r="L249" s="82" t="s">
        <v>22</v>
      </c>
      <c r="M249" s="83">
        <v>44909</v>
      </c>
      <c r="N249" s="84">
        <v>2099.9699999999998</v>
      </c>
    </row>
    <row r="250" spans="1:14" ht="29.4" customHeight="1" thickBot="1">
      <c r="A250" s="82" t="s">
        <v>397</v>
      </c>
      <c r="B250" s="83">
        <v>45758</v>
      </c>
      <c r="C250" s="82" t="s">
        <v>226</v>
      </c>
      <c r="D250" s="82" t="s">
        <v>227</v>
      </c>
      <c r="E250" s="82" t="s">
        <v>117</v>
      </c>
      <c r="F250" s="82" t="s">
        <v>118</v>
      </c>
      <c r="G250" s="82" t="s">
        <v>19</v>
      </c>
      <c r="H250" s="84">
        <v>2</v>
      </c>
      <c r="I250" s="84">
        <v>89.99</v>
      </c>
      <c r="J250" s="82" t="s">
        <v>57</v>
      </c>
      <c r="K250" s="82" t="s">
        <v>63</v>
      </c>
      <c r="L250" s="82" t="s">
        <v>22</v>
      </c>
      <c r="M250" s="83">
        <v>45088</v>
      </c>
      <c r="N250" s="84">
        <v>179.98</v>
      </c>
    </row>
    <row r="251" spans="1:14" ht="29.4" customHeight="1" thickBot="1">
      <c r="A251" s="82" t="s">
        <v>398</v>
      </c>
      <c r="B251" s="83">
        <v>45758</v>
      </c>
      <c r="C251" s="82" t="s">
        <v>138</v>
      </c>
      <c r="D251" s="82" t="s">
        <v>139</v>
      </c>
      <c r="E251" s="82" t="s">
        <v>117</v>
      </c>
      <c r="F251" s="82" t="s">
        <v>118</v>
      </c>
      <c r="G251" s="82" t="s">
        <v>19</v>
      </c>
      <c r="H251" s="84">
        <v>3</v>
      </c>
      <c r="I251" s="84">
        <v>89.99</v>
      </c>
      <c r="J251" s="82" t="s">
        <v>57</v>
      </c>
      <c r="K251" s="82" t="s">
        <v>40</v>
      </c>
      <c r="L251" s="82" t="s">
        <v>27</v>
      </c>
      <c r="M251" s="83">
        <v>44878</v>
      </c>
      <c r="N251" s="84">
        <v>269.97000000000003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941"/>
  <sheetViews>
    <sheetView zoomScale="52" zoomScaleNormal="40" workbookViewId="0">
      <selection activeCell="W1" sqref="W1:W2"/>
    </sheetView>
  </sheetViews>
  <sheetFormatPr defaultColWidth="8.8984375" defaultRowHeight="13.8"/>
  <cols>
    <col min="1" max="1" width="15.19921875" style="3" customWidth="1"/>
    <col min="2" max="2" width="16.3984375" style="3" customWidth="1"/>
    <col min="3" max="4" width="16.69921875" style="3" customWidth="1"/>
    <col min="5" max="5" width="16" style="3" customWidth="1"/>
    <col min="6" max="6" width="15.09765625" style="3" customWidth="1"/>
    <col min="7" max="7" width="11.8984375" style="3" customWidth="1"/>
    <col min="8" max="8" width="11.19921875" style="3" customWidth="1"/>
    <col min="9" max="9" width="12.8984375" style="3" customWidth="1"/>
    <col min="10" max="10" width="17.69921875" style="3" customWidth="1"/>
    <col min="11" max="11" width="12.296875" style="3" customWidth="1"/>
    <col min="12" max="12" width="18.8984375" style="3" customWidth="1"/>
    <col min="13" max="13" width="18.796875" style="3" customWidth="1"/>
    <col min="14" max="14" width="14.69921875" style="4" customWidth="1"/>
    <col min="15" max="15" width="14.09765625" style="3" customWidth="1"/>
    <col min="16" max="16" width="8.8984375" style="3" customWidth="1"/>
    <col min="17" max="17" width="14.19921875" style="3" customWidth="1"/>
    <col min="18" max="18" width="11.59765625" style="3" customWidth="1"/>
    <col min="19" max="19" width="17.09765625" style="3" customWidth="1"/>
    <col min="20" max="20" width="13.09765625" style="3" customWidth="1"/>
    <col min="21" max="21" width="16.8984375" style="3" customWidth="1"/>
    <col min="22" max="22" width="17.8984375" style="3" customWidth="1"/>
    <col min="23" max="23" width="18.19921875" style="3" customWidth="1"/>
    <col min="24" max="24" width="21.19921875" style="3" customWidth="1"/>
    <col min="25" max="25" width="8.8984375" style="3" customWidth="1"/>
    <col min="26" max="26" width="12.59765625" style="3" customWidth="1"/>
    <col min="27" max="27" width="13" style="3" customWidth="1"/>
    <col min="28" max="28" width="14.796875" style="3" customWidth="1"/>
    <col min="29" max="29" width="17.59765625" style="3" customWidth="1"/>
    <col min="30" max="30" width="14.69921875" style="3" customWidth="1"/>
    <col min="31" max="31" width="8.8984375" style="3" customWidth="1"/>
    <col min="32" max="32" width="15.19921875" style="3" customWidth="1"/>
    <col min="33" max="37" width="8.8984375" style="3" customWidth="1"/>
    <col min="38" max="38" width="16.296875" style="3" customWidth="1"/>
    <col min="39" max="39" width="29.3984375" style="3" customWidth="1"/>
    <col min="40" max="40" width="8.8984375" style="3" customWidth="1"/>
    <col min="41" max="16384" width="8.8984375" style="3"/>
  </cols>
  <sheetData>
    <row r="1" spans="1:30" ht="14.4">
      <c r="A1" s="28" t="s">
        <v>0</v>
      </c>
      <c r="B1" s="28" t="s">
        <v>1</v>
      </c>
      <c r="C1" s="28" t="s">
        <v>2</v>
      </c>
      <c r="D1" s="28" t="s">
        <v>3</v>
      </c>
      <c r="E1" s="28" t="s">
        <v>4</v>
      </c>
      <c r="F1" s="28" t="s">
        <v>5</v>
      </c>
      <c r="G1" s="28" t="s">
        <v>6</v>
      </c>
      <c r="H1" s="28" t="s">
        <v>7</v>
      </c>
      <c r="I1" s="28" t="s">
        <v>8</v>
      </c>
      <c r="J1" s="28" t="s">
        <v>9</v>
      </c>
      <c r="K1" s="28" t="s">
        <v>10</v>
      </c>
      <c r="L1" s="28" t="s">
        <v>11</v>
      </c>
      <c r="M1" s="28" t="s">
        <v>12</v>
      </c>
      <c r="N1" s="29" t="s">
        <v>13</v>
      </c>
      <c r="O1" s="30" t="s">
        <v>435</v>
      </c>
      <c r="P1" s="30" t="s">
        <v>436</v>
      </c>
      <c r="Q1" s="30" t="s">
        <v>437</v>
      </c>
      <c r="R1" s="30" t="s">
        <v>438</v>
      </c>
      <c r="S1" s="30" t="s">
        <v>439</v>
      </c>
      <c r="T1" s="30" t="s">
        <v>423</v>
      </c>
      <c r="U1" s="30" t="s">
        <v>440</v>
      </c>
      <c r="V1" s="77" t="s">
        <v>463</v>
      </c>
      <c r="W1" s="78" t="s">
        <v>464</v>
      </c>
      <c r="Y1" s="64" t="s">
        <v>495</v>
      </c>
      <c r="Z1" s="64" t="s">
        <v>495</v>
      </c>
      <c r="AA1" s="79" t="s">
        <v>509</v>
      </c>
      <c r="AC1" s="80" t="s">
        <v>510</v>
      </c>
      <c r="AD1" s="80" t="s">
        <v>440</v>
      </c>
    </row>
    <row r="2" spans="1:30" ht="14.4">
      <c r="A2" s="52" t="s">
        <v>14</v>
      </c>
      <c r="B2" s="53">
        <v>45393</v>
      </c>
      <c r="C2" s="52" t="s">
        <v>15</v>
      </c>
      <c r="D2" s="52" t="s">
        <v>16</v>
      </c>
      <c r="E2" s="52" t="s">
        <v>17</v>
      </c>
      <c r="F2" s="52" t="s">
        <v>18</v>
      </c>
      <c r="G2" s="52" t="s">
        <v>19</v>
      </c>
      <c r="H2" s="52">
        <v>3</v>
      </c>
      <c r="I2" s="52">
        <v>249.99</v>
      </c>
      <c r="J2" s="52" t="s">
        <v>20</v>
      </c>
      <c r="K2" s="52" t="s">
        <v>21</v>
      </c>
      <c r="L2" s="52" t="s">
        <v>22</v>
      </c>
      <c r="M2" s="53">
        <v>44425</v>
      </c>
      <c r="N2" s="54">
        <v>749.97</v>
      </c>
      <c r="O2" s="32" t="str">
        <f t="shared" ref="O2:O51" si="0">TEXT(B2,"mmm")</f>
        <v>Apr</v>
      </c>
      <c r="P2" s="32">
        <f t="shared" ref="P2:P51" si="1">YEAR(B2)</f>
        <v>2024</v>
      </c>
      <c r="Q2" s="32">
        <f t="shared" ref="Q2:Q51" ca="1" si="2">DATEDIF(M2,TODAY(),"D")</f>
        <v>1856</v>
      </c>
      <c r="R2" s="32">
        <f t="shared" ref="R2:R51" si="3">EOMONTH(B2,0)</f>
        <v>45412</v>
      </c>
      <c r="S2" s="55">
        <f t="shared" ref="S2:S51" ca="1" si="4">NOW()</f>
        <v>46281.656764814812</v>
      </c>
      <c r="T2" s="32" t="str">
        <f t="shared" ref="T2:T51" si="5">IF(N2&gt;1000,"High Sale","Low Sale")</f>
        <v>Low Sale</v>
      </c>
      <c r="U2" s="73">
        <f>SUMIFS($N:$N, $D:$D, D2)</f>
        <v>8059.7499999999991</v>
      </c>
      <c r="V2" s="74" t="str" cm="1">
        <f t="array" ref="V2">INDEX(F2:F171,MODE(MATCH(F2:F171,F2:F171,0)))</f>
        <v>Bookshelf</v>
      </c>
      <c r="W2" s="67">
        <f>COUNTIF($D$2:$D$171,D2)</f>
        <v>7</v>
      </c>
      <c r="Y2" s="64" t="s">
        <v>496</v>
      </c>
      <c r="Z2" s="64" t="s">
        <v>498</v>
      </c>
      <c r="AA2" s="79" t="str" cm="1">
        <f t="array" ref="AA2:AA7">_xlfn.UNIQUE(_xlfn._xlws.FILTER(Y2:Y100,COUNTIF(Z2:Z100,Y2:Y100)&gt;0,"No Common Name"))</f>
        <v>Amit</v>
      </c>
      <c r="AC2" s="80" t="str" cm="1">
        <f t="array" ref="AC2:AC49">_xlfn.UNIQUE(_xlfn._xlws.FILTER($D$2:$D$251,$D$2:$D$251&lt;&gt;""))</f>
        <v>Paul Baker</v>
      </c>
      <c r="AD2" s="80" cm="1">
        <f t="array" ref="AD2:AD49">SUMIF($D$2:$D$251,_xlfn.ANCHORARRAY(AC2),$U$2:$U$251)</f>
        <v>56418.249999999993</v>
      </c>
    </row>
    <row r="3" spans="1:30" ht="14.4">
      <c r="A3" s="52" t="s">
        <v>23</v>
      </c>
      <c r="B3" s="53">
        <v>45396</v>
      </c>
      <c r="C3" s="52" t="s">
        <v>24</v>
      </c>
      <c r="D3" s="52" t="s">
        <v>25</v>
      </c>
      <c r="E3" s="52" t="s">
        <v>17</v>
      </c>
      <c r="F3" s="52" t="s">
        <v>18</v>
      </c>
      <c r="G3" s="52" t="s">
        <v>19</v>
      </c>
      <c r="H3" s="52">
        <v>3</v>
      </c>
      <c r="I3" s="52">
        <v>249.99</v>
      </c>
      <c r="J3" s="52" t="s">
        <v>26</v>
      </c>
      <c r="K3" s="52" t="s">
        <v>21</v>
      </c>
      <c r="L3" s="52" t="s">
        <v>27</v>
      </c>
      <c r="M3" s="53">
        <v>44575</v>
      </c>
      <c r="N3" s="54">
        <v>749.97</v>
      </c>
      <c r="O3" s="32" t="str">
        <f t="shared" si="0"/>
        <v>Apr</v>
      </c>
      <c r="P3" s="32">
        <f t="shared" si="1"/>
        <v>2024</v>
      </c>
      <c r="Q3" s="32">
        <f t="shared" ca="1" si="2"/>
        <v>1706</v>
      </c>
      <c r="R3" s="32">
        <f t="shared" si="3"/>
        <v>45412</v>
      </c>
      <c r="S3" s="55">
        <f t="shared" ca="1" si="4"/>
        <v>46281.656764814812</v>
      </c>
      <c r="T3" s="32" t="str">
        <f t="shared" si="5"/>
        <v>Low Sale</v>
      </c>
      <c r="U3" s="73">
        <f t="shared" ref="U3:U33" si="6">SUMIFS($N:$N, $D:$D, D3)</f>
        <v>2299.9</v>
      </c>
      <c r="V3" s="75"/>
      <c r="W3" s="3">
        <f t="shared" ref="W3:W33" si="7">COUNTIF($D$2:$D$171,D3)</f>
        <v>3</v>
      </c>
      <c r="Y3" s="64" t="s">
        <v>497</v>
      </c>
      <c r="Z3" s="64" t="s">
        <v>499</v>
      </c>
      <c r="AA3" s="79" t="str">
        <v>Neha</v>
      </c>
      <c r="AC3" s="80" t="str">
        <v>Joseph Jackson</v>
      </c>
      <c r="AD3" s="80">
        <v>6899.7000000000007</v>
      </c>
    </row>
    <row r="4" spans="1:30" ht="14.4">
      <c r="A4" s="52" t="s">
        <v>28</v>
      </c>
      <c r="B4" s="53">
        <v>45399</v>
      </c>
      <c r="C4" s="52" t="s">
        <v>29</v>
      </c>
      <c r="D4" s="52" t="s">
        <v>30</v>
      </c>
      <c r="E4" s="52" t="s">
        <v>31</v>
      </c>
      <c r="F4" s="52" t="s">
        <v>32</v>
      </c>
      <c r="G4" s="52" t="s">
        <v>33</v>
      </c>
      <c r="H4" s="52">
        <v>3</v>
      </c>
      <c r="I4" s="52">
        <v>59.99</v>
      </c>
      <c r="J4" s="52" t="s">
        <v>34</v>
      </c>
      <c r="K4" s="52" t="s">
        <v>35</v>
      </c>
      <c r="L4" s="52" t="s">
        <v>36</v>
      </c>
      <c r="M4" s="53">
        <v>45262</v>
      </c>
      <c r="N4" s="54">
        <v>179.97</v>
      </c>
      <c r="O4" s="32" t="str">
        <f t="shared" si="0"/>
        <v>Apr</v>
      </c>
      <c r="P4" s="32">
        <f t="shared" si="1"/>
        <v>2024</v>
      </c>
      <c r="Q4" s="32">
        <f t="shared" ca="1" si="2"/>
        <v>1019</v>
      </c>
      <c r="R4" s="32">
        <f t="shared" si="3"/>
        <v>45412</v>
      </c>
      <c r="S4" s="55">
        <f t="shared" ca="1" si="4"/>
        <v>46281.656764814812</v>
      </c>
      <c r="T4" s="32" t="str">
        <f t="shared" si="5"/>
        <v>Low Sale</v>
      </c>
      <c r="U4" s="73">
        <f t="shared" si="6"/>
        <v>3179.88</v>
      </c>
      <c r="V4" s="75"/>
      <c r="W4" s="3">
        <f t="shared" si="7"/>
        <v>5</v>
      </c>
      <c r="Y4" s="64" t="s">
        <v>498</v>
      </c>
      <c r="Z4" s="64" t="s">
        <v>500</v>
      </c>
      <c r="AA4" s="79" t="str">
        <v>Rohan</v>
      </c>
      <c r="AC4" s="80" t="str">
        <v>Kevin Scott</v>
      </c>
      <c r="AD4" s="80">
        <v>15899.400000000001</v>
      </c>
    </row>
    <row r="5" spans="1:30" ht="14.4">
      <c r="A5" s="52" t="s">
        <v>37</v>
      </c>
      <c r="B5" s="53">
        <v>45400</v>
      </c>
      <c r="C5" s="52" t="s">
        <v>38</v>
      </c>
      <c r="D5" s="52" t="s">
        <v>39</v>
      </c>
      <c r="E5" s="52" t="s">
        <v>31</v>
      </c>
      <c r="F5" s="52" t="s">
        <v>32</v>
      </c>
      <c r="G5" s="52" t="s">
        <v>33</v>
      </c>
      <c r="H5" s="52">
        <v>3</v>
      </c>
      <c r="I5" s="52">
        <v>59.99</v>
      </c>
      <c r="J5" s="52" t="s">
        <v>20</v>
      </c>
      <c r="K5" s="52" t="s">
        <v>40</v>
      </c>
      <c r="L5" s="52" t="s">
        <v>27</v>
      </c>
      <c r="M5" s="53">
        <v>45114</v>
      </c>
      <c r="N5" s="54">
        <v>179.97</v>
      </c>
      <c r="O5" s="32" t="str">
        <f t="shared" si="0"/>
        <v>Apr</v>
      </c>
      <c r="P5" s="32">
        <f t="shared" si="1"/>
        <v>2024</v>
      </c>
      <c r="Q5" s="32">
        <f t="shared" ca="1" si="2"/>
        <v>1167</v>
      </c>
      <c r="R5" s="32">
        <f t="shared" si="3"/>
        <v>45412</v>
      </c>
      <c r="S5" s="55">
        <f t="shared" ca="1" si="4"/>
        <v>46281.656764814812</v>
      </c>
      <c r="T5" s="32" t="str">
        <f t="shared" si="5"/>
        <v>Low Sale</v>
      </c>
      <c r="U5" s="73">
        <f t="shared" si="6"/>
        <v>1229.9000000000001</v>
      </c>
      <c r="V5" s="75"/>
      <c r="W5" s="3">
        <f t="shared" si="7"/>
        <v>3</v>
      </c>
      <c r="Y5" s="64" t="s">
        <v>499</v>
      </c>
      <c r="Z5" s="64" t="s">
        <v>506</v>
      </c>
      <c r="AA5" s="79" t="str">
        <v>Vikas</v>
      </c>
      <c r="AC5" s="80" t="str">
        <v>Kathleen Bennett</v>
      </c>
      <c r="AD5" s="80">
        <v>3689.7000000000003</v>
      </c>
    </row>
    <row r="6" spans="1:30" ht="14.4">
      <c r="A6" s="52" t="s">
        <v>41</v>
      </c>
      <c r="B6" s="53">
        <v>45400</v>
      </c>
      <c r="C6" s="52" t="s">
        <v>42</v>
      </c>
      <c r="D6" s="52" t="s">
        <v>43</v>
      </c>
      <c r="E6" s="52" t="s">
        <v>44</v>
      </c>
      <c r="F6" s="52" t="s">
        <v>45</v>
      </c>
      <c r="G6" s="52" t="s">
        <v>46</v>
      </c>
      <c r="H6" s="52">
        <v>5</v>
      </c>
      <c r="I6" s="52">
        <v>149.99</v>
      </c>
      <c r="J6" s="52" t="s">
        <v>26</v>
      </c>
      <c r="K6" s="52" t="s">
        <v>40</v>
      </c>
      <c r="L6" s="52" t="s">
        <v>27</v>
      </c>
      <c r="M6" s="53">
        <v>45295</v>
      </c>
      <c r="N6" s="54">
        <v>749.95</v>
      </c>
      <c r="O6" s="32" t="str">
        <f t="shared" si="0"/>
        <v>Apr</v>
      </c>
      <c r="P6" s="32">
        <f t="shared" si="1"/>
        <v>2024</v>
      </c>
      <c r="Q6" s="32">
        <f t="shared" ca="1" si="2"/>
        <v>986</v>
      </c>
      <c r="R6" s="32">
        <f t="shared" si="3"/>
        <v>45412</v>
      </c>
      <c r="S6" s="55">
        <f t="shared" ca="1" si="4"/>
        <v>46281.656764814812</v>
      </c>
      <c r="T6" s="32" t="str">
        <f t="shared" si="5"/>
        <v>Low Sale</v>
      </c>
      <c r="U6" s="73">
        <f t="shared" si="6"/>
        <v>3569.8</v>
      </c>
      <c r="V6" s="75"/>
      <c r="W6" s="3">
        <f t="shared" si="7"/>
        <v>7</v>
      </c>
      <c r="Y6" s="64" t="s">
        <v>500</v>
      </c>
      <c r="Z6" s="64" t="s">
        <v>502</v>
      </c>
      <c r="AA6" s="79" t="str">
        <v>Pooja</v>
      </c>
      <c r="AC6" s="80" t="str">
        <v>Michael Brown</v>
      </c>
      <c r="AD6" s="80">
        <v>24988.6</v>
      </c>
    </row>
    <row r="7" spans="1:30" ht="14.4">
      <c r="A7" s="52" t="s">
        <v>47</v>
      </c>
      <c r="B7" s="53">
        <v>45403</v>
      </c>
      <c r="C7" s="52" t="s">
        <v>48</v>
      </c>
      <c r="D7" s="52" t="s">
        <v>49</v>
      </c>
      <c r="E7" s="52" t="s">
        <v>31</v>
      </c>
      <c r="F7" s="52" t="s">
        <v>32</v>
      </c>
      <c r="G7" s="52" t="s">
        <v>33</v>
      </c>
      <c r="H7" s="52">
        <v>2</v>
      </c>
      <c r="I7" s="52">
        <v>59.99</v>
      </c>
      <c r="J7" s="52" t="s">
        <v>20</v>
      </c>
      <c r="K7" s="52" t="s">
        <v>50</v>
      </c>
      <c r="L7" s="52" t="s">
        <v>36</v>
      </c>
      <c r="M7" s="53">
        <v>44746</v>
      </c>
      <c r="N7" s="54">
        <v>119.98</v>
      </c>
      <c r="O7" s="32" t="str">
        <f t="shared" si="0"/>
        <v>Apr</v>
      </c>
      <c r="P7" s="32">
        <f t="shared" si="1"/>
        <v>2024</v>
      </c>
      <c r="Q7" s="32">
        <f t="shared" ca="1" si="2"/>
        <v>1535</v>
      </c>
      <c r="R7" s="32">
        <f t="shared" si="3"/>
        <v>45412</v>
      </c>
      <c r="S7" s="55">
        <f t="shared" ca="1" si="4"/>
        <v>46281.656764814812</v>
      </c>
      <c r="T7" s="32" t="str">
        <f t="shared" si="5"/>
        <v>Low Sale</v>
      </c>
      <c r="U7" s="73">
        <f t="shared" si="6"/>
        <v>7369.82</v>
      </c>
      <c r="V7" s="75"/>
      <c r="W7" s="3">
        <f t="shared" si="7"/>
        <v>5</v>
      </c>
      <c r="Y7" s="64" t="s">
        <v>501</v>
      </c>
      <c r="Z7" s="64" t="s">
        <v>503</v>
      </c>
      <c r="AA7" s="79" t="str">
        <v>Karan</v>
      </c>
      <c r="AC7" s="80" t="str">
        <v>Dorothy Nelson</v>
      </c>
      <c r="AD7" s="80">
        <v>36849.1</v>
      </c>
    </row>
    <row r="8" spans="1:30" ht="14.4">
      <c r="A8" s="52" t="s">
        <v>51</v>
      </c>
      <c r="B8" s="53">
        <v>45403</v>
      </c>
      <c r="C8" s="52" t="s">
        <v>48</v>
      </c>
      <c r="D8" s="52" t="s">
        <v>49</v>
      </c>
      <c r="E8" s="52" t="s">
        <v>52</v>
      </c>
      <c r="F8" s="52" t="s">
        <v>53</v>
      </c>
      <c r="G8" s="52" t="s">
        <v>19</v>
      </c>
      <c r="H8" s="52">
        <v>5</v>
      </c>
      <c r="I8" s="52">
        <v>149.99</v>
      </c>
      <c r="J8" s="52" t="s">
        <v>26</v>
      </c>
      <c r="K8" s="52" t="s">
        <v>21</v>
      </c>
      <c r="L8" s="52" t="s">
        <v>36</v>
      </c>
      <c r="M8" s="53">
        <v>44418</v>
      </c>
      <c r="N8" s="54">
        <v>749.95</v>
      </c>
      <c r="O8" s="32" t="str">
        <f t="shared" si="0"/>
        <v>Apr</v>
      </c>
      <c r="P8" s="32">
        <f t="shared" si="1"/>
        <v>2024</v>
      </c>
      <c r="Q8" s="32">
        <f t="shared" ca="1" si="2"/>
        <v>1863</v>
      </c>
      <c r="R8" s="32">
        <f t="shared" si="3"/>
        <v>45412</v>
      </c>
      <c r="S8" s="55">
        <f t="shared" ca="1" si="4"/>
        <v>46281.656764814812</v>
      </c>
      <c r="T8" s="32" t="str">
        <f t="shared" si="5"/>
        <v>Low Sale</v>
      </c>
      <c r="U8" s="73">
        <f t="shared" si="6"/>
        <v>7369.82</v>
      </c>
      <c r="V8" s="75"/>
      <c r="W8" s="3">
        <f t="shared" si="7"/>
        <v>5</v>
      </c>
      <c r="Y8" s="64" t="s">
        <v>502</v>
      </c>
      <c r="Z8" s="64" t="s">
        <v>507</v>
      </c>
      <c r="AC8" s="80" t="str">
        <v>Charles Allen</v>
      </c>
      <c r="AD8" s="80">
        <v>34438.250000000007</v>
      </c>
    </row>
    <row r="9" spans="1:30" ht="14.4">
      <c r="A9" s="52" t="s">
        <v>54</v>
      </c>
      <c r="B9" s="53">
        <v>45403</v>
      </c>
      <c r="C9" s="52" t="s">
        <v>55</v>
      </c>
      <c r="D9" s="52" t="s">
        <v>56</v>
      </c>
      <c r="E9" s="52" t="s">
        <v>31</v>
      </c>
      <c r="F9" s="52" t="s">
        <v>32</v>
      </c>
      <c r="G9" s="52" t="s">
        <v>33</v>
      </c>
      <c r="H9" s="52">
        <v>3</v>
      </c>
      <c r="I9" s="52">
        <v>59.99</v>
      </c>
      <c r="J9" s="52" t="s">
        <v>57</v>
      </c>
      <c r="K9" s="52" t="s">
        <v>35</v>
      </c>
      <c r="L9" s="52" t="s">
        <v>22</v>
      </c>
      <c r="M9" s="53">
        <v>45007</v>
      </c>
      <c r="N9" s="54">
        <v>179.97</v>
      </c>
      <c r="O9" s="32" t="str">
        <f t="shared" si="0"/>
        <v>Apr</v>
      </c>
      <c r="P9" s="32">
        <f t="shared" si="1"/>
        <v>2024</v>
      </c>
      <c r="Q9" s="32">
        <f t="shared" ca="1" si="2"/>
        <v>1274</v>
      </c>
      <c r="R9" s="32">
        <f t="shared" si="3"/>
        <v>45412</v>
      </c>
      <c r="S9" s="55">
        <f t="shared" ca="1" si="4"/>
        <v>46281.656764814812</v>
      </c>
      <c r="T9" s="32" t="str">
        <f t="shared" si="5"/>
        <v>Low Sale</v>
      </c>
      <c r="U9" s="73">
        <f t="shared" si="6"/>
        <v>4919.7500000000009</v>
      </c>
      <c r="V9" s="75"/>
      <c r="W9" s="3">
        <f t="shared" si="7"/>
        <v>7</v>
      </c>
      <c r="Y9" s="64" t="s">
        <v>503</v>
      </c>
      <c r="Z9" s="64" t="s">
        <v>504</v>
      </c>
      <c r="AC9" s="80" t="str">
        <v>Robert Thomas</v>
      </c>
      <c r="AD9" s="80">
        <v>13319.679999999997</v>
      </c>
    </row>
    <row r="10" spans="1:30" ht="14.4">
      <c r="A10" s="52" t="s">
        <v>58</v>
      </c>
      <c r="B10" s="53">
        <v>45405</v>
      </c>
      <c r="C10" s="52" t="s">
        <v>59</v>
      </c>
      <c r="D10" s="52" t="s">
        <v>60</v>
      </c>
      <c r="E10" s="52" t="s">
        <v>61</v>
      </c>
      <c r="F10" s="52" t="s">
        <v>62</v>
      </c>
      <c r="G10" s="52" t="s">
        <v>19</v>
      </c>
      <c r="H10" s="52">
        <v>3</v>
      </c>
      <c r="I10" s="52">
        <v>899.99</v>
      </c>
      <c r="J10" s="52" t="s">
        <v>34</v>
      </c>
      <c r="K10" s="52" t="s">
        <v>63</v>
      </c>
      <c r="L10" s="52" t="s">
        <v>36</v>
      </c>
      <c r="M10" s="53">
        <v>45299</v>
      </c>
      <c r="N10" s="54">
        <v>2699.97</v>
      </c>
      <c r="O10" s="32" t="str">
        <f t="shared" si="0"/>
        <v>Apr</v>
      </c>
      <c r="P10" s="32">
        <f t="shared" si="1"/>
        <v>2024</v>
      </c>
      <c r="Q10" s="32">
        <f t="shared" ca="1" si="2"/>
        <v>982</v>
      </c>
      <c r="R10" s="32">
        <f t="shared" si="3"/>
        <v>45412</v>
      </c>
      <c r="S10" s="55">
        <f t="shared" ca="1" si="4"/>
        <v>46281.656764814812</v>
      </c>
      <c r="T10" s="32" t="str">
        <f t="shared" si="5"/>
        <v>High Sale</v>
      </c>
      <c r="U10" s="73">
        <f t="shared" si="6"/>
        <v>3329.9199999999992</v>
      </c>
      <c r="V10" s="75"/>
      <c r="W10" s="3">
        <f t="shared" si="7"/>
        <v>4</v>
      </c>
      <c r="Y10" s="64" t="s">
        <v>504</v>
      </c>
      <c r="Z10" s="64" t="s">
        <v>508</v>
      </c>
      <c r="AC10" s="80" t="str">
        <v>Karen Hill</v>
      </c>
      <c r="AD10" s="80">
        <v>30799.249999999996</v>
      </c>
    </row>
    <row r="11" spans="1:30" ht="14.4">
      <c r="A11" s="52" t="s">
        <v>64</v>
      </c>
      <c r="B11" s="53">
        <v>45408</v>
      </c>
      <c r="C11" s="52" t="s">
        <v>65</v>
      </c>
      <c r="D11" s="52" t="s">
        <v>66</v>
      </c>
      <c r="E11" s="52" t="s">
        <v>31</v>
      </c>
      <c r="F11" s="52" t="s">
        <v>32</v>
      </c>
      <c r="G11" s="52" t="s">
        <v>33</v>
      </c>
      <c r="H11" s="52">
        <v>3</v>
      </c>
      <c r="I11" s="52">
        <v>59.99</v>
      </c>
      <c r="J11" s="52" t="s">
        <v>20</v>
      </c>
      <c r="K11" s="52" t="s">
        <v>50</v>
      </c>
      <c r="L11" s="52" t="s">
        <v>27</v>
      </c>
      <c r="M11" s="53">
        <v>45207</v>
      </c>
      <c r="N11" s="54">
        <v>179.97</v>
      </c>
      <c r="O11" s="32" t="str">
        <f t="shared" si="0"/>
        <v>Apr</v>
      </c>
      <c r="P11" s="32">
        <f t="shared" si="1"/>
        <v>2024</v>
      </c>
      <c r="Q11" s="32">
        <f t="shared" ca="1" si="2"/>
        <v>1074</v>
      </c>
      <c r="R11" s="32">
        <f t="shared" si="3"/>
        <v>45412</v>
      </c>
      <c r="S11" s="55">
        <f t="shared" ca="1" si="4"/>
        <v>46281.656764814812</v>
      </c>
      <c r="T11" s="32" t="str">
        <f t="shared" si="5"/>
        <v>Low Sale</v>
      </c>
      <c r="U11" s="73">
        <f t="shared" si="6"/>
        <v>6159.8499999999995</v>
      </c>
      <c r="V11" s="75"/>
      <c r="W11" s="3">
        <f t="shared" si="7"/>
        <v>5</v>
      </c>
      <c r="Y11" s="64" t="s">
        <v>505</v>
      </c>
      <c r="Z11" s="64"/>
      <c r="AC11" s="80" t="str">
        <v>Susan Green</v>
      </c>
      <c r="AD11" s="80">
        <v>5669.7000000000007</v>
      </c>
    </row>
    <row r="12" spans="1:30" ht="14.4">
      <c r="A12" s="52" t="s">
        <v>67</v>
      </c>
      <c r="B12" s="53">
        <v>45408</v>
      </c>
      <c r="C12" s="52" t="s">
        <v>68</v>
      </c>
      <c r="D12" s="52" t="s">
        <v>69</v>
      </c>
      <c r="E12" s="52" t="s">
        <v>44</v>
      </c>
      <c r="F12" s="52" t="s">
        <v>45</v>
      </c>
      <c r="G12" s="52" t="s">
        <v>46</v>
      </c>
      <c r="H12" s="52">
        <v>1</v>
      </c>
      <c r="I12" s="52">
        <v>149.99</v>
      </c>
      <c r="J12" s="52" t="s">
        <v>26</v>
      </c>
      <c r="K12" s="52" t="s">
        <v>50</v>
      </c>
      <c r="L12" s="52" t="s">
        <v>36</v>
      </c>
      <c r="M12" s="53">
        <v>45103</v>
      </c>
      <c r="N12" s="54">
        <v>149.99</v>
      </c>
      <c r="O12" s="32" t="str">
        <f t="shared" si="0"/>
        <v>Apr</v>
      </c>
      <c r="P12" s="32">
        <f t="shared" si="1"/>
        <v>2024</v>
      </c>
      <c r="Q12" s="32">
        <f t="shared" ca="1" si="2"/>
        <v>1178</v>
      </c>
      <c r="R12" s="32">
        <f t="shared" si="3"/>
        <v>45412</v>
      </c>
      <c r="S12" s="55">
        <f t="shared" ca="1" si="4"/>
        <v>46281.656764814812</v>
      </c>
      <c r="T12" s="32" t="str">
        <f t="shared" si="5"/>
        <v>Low Sale</v>
      </c>
      <c r="U12" s="73">
        <f t="shared" si="6"/>
        <v>1889.9</v>
      </c>
      <c r="V12" s="75"/>
      <c r="W12" s="3">
        <f t="shared" si="7"/>
        <v>3</v>
      </c>
      <c r="Y12" s="64"/>
      <c r="Z12" s="64"/>
      <c r="AC12" s="80" t="str">
        <v>Peter Richardson</v>
      </c>
      <c r="AD12" s="80">
        <v>8099.76</v>
      </c>
    </row>
    <row r="13" spans="1:30" ht="14.4">
      <c r="A13" s="52" t="s">
        <v>70</v>
      </c>
      <c r="B13" s="53">
        <v>45408</v>
      </c>
      <c r="C13" s="52" t="s">
        <v>38</v>
      </c>
      <c r="D13" s="52" t="s">
        <v>39</v>
      </c>
      <c r="E13" s="52" t="s">
        <v>44</v>
      </c>
      <c r="F13" s="52" t="s">
        <v>45</v>
      </c>
      <c r="G13" s="52" t="s">
        <v>46</v>
      </c>
      <c r="H13" s="52">
        <v>5</v>
      </c>
      <c r="I13" s="52">
        <v>149.99</v>
      </c>
      <c r="J13" s="52" t="s">
        <v>57</v>
      </c>
      <c r="K13" s="52" t="s">
        <v>40</v>
      </c>
      <c r="L13" s="52" t="s">
        <v>22</v>
      </c>
      <c r="M13" s="53">
        <v>44830</v>
      </c>
      <c r="N13" s="54">
        <v>749.95</v>
      </c>
      <c r="O13" s="32" t="str">
        <f t="shared" si="0"/>
        <v>Apr</v>
      </c>
      <c r="P13" s="32">
        <f t="shared" si="1"/>
        <v>2024</v>
      </c>
      <c r="Q13" s="32">
        <f t="shared" ca="1" si="2"/>
        <v>1451</v>
      </c>
      <c r="R13" s="32">
        <f t="shared" si="3"/>
        <v>45412</v>
      </c>
      <c r="S13" s="55">
        <f t="shared" ca="1" si="4"/>
        <v>46281.656764814812</v>
      </c>
      <c r="T13" s="32" t="str">
        <f t="shared" si="5"/>
        <v>Low Sale</v>
      </c>
      <c r="U13" s="73">
        <f t="shared" si="6"/>
        <v>1229.9000000000001</v>
      </c>
      <c r="V13" s="75"/>
      <c r="W13" s="3">
        <f t="shared" si="7"/>
        <v>3</v>
      </c>
      <c r="AC13" s="80" t="str">
        <v>Dennis Gray</v>
      </c>
      <c r="AD13" s="80">
        <v>959.83999999999992</v>
      </c>
    </row>
    <row r="14" spans="1:30" ht="22.8" customHeight="1">
      <c r="A14" s="52" t="s">
        <v>71</v>
      </c>
      <c r="B14" s="53">
        <v>45408</v>
      </c>
      <c r="C14" s="52" t="s">
        <v>72</v>
      </c>
      <c r="D14" s="52" t="s">
        <v>73</v>
      </c>
      <c r="E14" s="52" t="s">
        <v>44</v>
      </c>
      <c r="F14" s="52" t="s">
        <v>45</v>
      </c>
      <c r="G14" s="52" t="s">
        <v>46</v>
      </c>
      <c r="H14" s="52">
        <v>3</v>
      </c>
      <c r="I14" s="52">
        <v>149.99</v>
      </c>
      <c r="J14" s="52" t="s">
        <v>20</v>
      </c>
      <c r="K14" s="52" t="s">
        <v>40</v>
      </c>
      <c r="L14" s="52" t="s">
        <v>27</v>
      </c>
      <c r="M14" s="53">
        <v>44806</v>
      </c>
      <c r="N14" s="54">
        <v>449.97</v>
      </c>
      <c r="O14" s="32" t="str">
        <f t="shared" si="0"/>
        <v>Apr</v>
      </c>
      <c r="P14" s="32">
        <f t="shared" si="1"/>
        <v>2024</v>
      </c>
      <c r="Q14" s="32">
        <f t="shared" ca="1" si="2"/>
        <v>1475</v>
      </c>
      <c r="R14" s="32">
        <f t="shared" si="3"/>
        <v>45412</v>
      </c>
      <c r="S14" s="55">
        <f t="shared" ca="1" si="4"/>
        <v>46281.656764814812</v>
      </c>
      <c r="T14" s="32" t="str">
        <f t="shared" si="5"/>
        <v>Low Sale</v>
      </c>
      <c r="U14" s="73">
        <f t="shared" si="6"/>
        <v>2699.92</v>
      </c>
      <c r="V14" s="75"/>
      <c r="W14" s="3">
        <f t="shared" si="7"/>
        <v>3</v>
      </c>
      <c r="AC14" s="80" t="str">
        <v>Michelle Rogers</v>
      </c>
      <c r="AD14" s="80">
        <v>8399.8799999999992</v>
      </c>
    </row>
    <row r="15" spans="1:30" ht="27.6" customHeight="1">
      <c r="A15" s="52" t="s">
        <v>74</v>
      </c>
      <c r="B15" s="53">
        <v>45409</v>
      </c>
      <c r="C15" s="52" t="s">
        <v>75</v>
      </c>
      <c r="D15" s="52" t="s">
        <v>76</v>
      </c>
      <c r="E15" s="52" t="s">
        <v>31</v>
      </c>
      <c r="F15" s="52" t="s">
        <v>32</v>
      </c>
      <c r="G15" s="52" t="s">
        <v>33</v>
      </c>
      <c r="H15" s="52">
        <v>3</v>
      </c>
      <c r="I15" s="52">
        <v>59.99</v>
      </c>
      <c r="J15" s="52" t="s">
        <v>26</v>
      </c>
      <c r="K15" s="52" t="s">
        <v>40</v>
      </c>
      <c r="L15" s="52" t="s">
        <v>36</v>
      </c>
      <c r="M15" s="53">
        <v>45351</v>
      </c>
      <c r="N15" s="54">
        <v>179.97</v>
      </c>
      <c r="O15" s="32" t="str">
        <f t="shared" si="0"/>
        <v>Apr</v>
      </c>
      <c r="P15" s="32">
        <f t="shared" si="1"/>
        <v>2024</v>
      </c>
      <c r="Q15" s="32">
        <f t="shared" ca="1" si="2"/>
        <v>930</v>
      </c>
      <c r="R15" s="32">
        <f t="shared" si="3"/>
        <v>45412</v>
      </c>
      <c r="S15" s="55">
        <f t="shared" ca="1" si="4"/>
        <v>46281.656764814812</v>
      </c>
      <c r="T15" s="32" t="str">
        <f t="shared" si="5"/>
        <v>Low Sale</v>
      </c>
      <c r="U15" s="73">
        <f t="shared" si="6"/>
        <v>479.91999999999996</v>
      </c>
      <c r="V15" s="75"/>
      <c r="W15" s="3">
        <f t="shared" si="7"/>
        <v>2</v>
      </c>
      <c r="Y15" s="67"/>
      <c r="AC15" s="80" t="str">
        <v>George Adams</v>
      </c>
      <c r="AD15" s="80">
        <v>2159.92</v>
      </c>
    </row>
    <row r="16" spans="1:30" ht="25.2" customHeight="1">
      <c r="A16" s="52" t="s">
        <v>77</v>
      </c>
      <c r="B16" s="53">
        <v>45409</v>
      </c>
      <c r="C16" s="52" t="s">
        <v>78</v>
      </c>
      <c r="D16" s="52" t="s">
        <v>79</v>
      </c>
      <c r="E16" s="52" t="s">
        <v>80</v>
      </c>
      <c r="F16" s="52" t="s">
        <v>81</v>
      </c>
      <c r="G16" s="52" t="s">
        <v>19</v>
      </c>
      <c r="H16" s="52">
        <v>3</v>
      </c>
      <c r="I16" s="52">
        <v>699.99</v>
      </c>
      <c r="J16" s="52" t="s">
        <v>26</v>
      </c>
      <c r="K16" s="52" t="s">
        <v>50</v>
      </c>
      <c r="L16" s="52" t="s">
        <v>22</v>
      </c>
      <c r="M16" s="53">
        <v>44577</v>
      </c>
      <c r="N16" s="54">
        <v>2099.9699999999998</v>
      </c>
      <c r="O16" s="32" t="str">
        <f t="shared" si="0"/>
        <v>Apr</v>
      </c>
      <c r="P16" s="32">
        <f t="shared" si="1"/>
        <v>2024</v>
      </c>
      <c r="Q16" s="32">
        <f t="shared" ca="1" si="2"/>
        <v>1704</v>
      </c>
      <c r="R16" s="32">
        <f t="shared" si="3"/>
        <v>45412</v>
      </c>
      <c r="S16" s="55">
        <f t="shared" ca="1" si="4"/>
        <v>46281.656764814812</v>
      </c>
      <c r="T16" s="32" t="str">
        <f t="shared" si="5"/>
        <v>High Sale</v>
      </c>
      <c r="U16" s="73">
        <f t="shared" si="6"/>
        <v>4199.9399999999996</v>
      </c>
      <c r="V16" s="75"/>
      <c r="W16" s="3">
        <f t="shared" si="7"/>
        <v>2</v>
      </c>
      <c r="AC16" s="80" t="str">
        <v>Mark Carter</v>
      </c>
      <c r="AD16" s="80">
        <v>99198.079999999987</v>
      </c>
    </row>
    <row r="17" spans="1:30" ht="24.6" customHeight="1">
      <c r="A17" s="52" t="s">
        <v>82</v>
      </c>
      <c r="B17" s="53">
        <v>45409</v>
      </c>
      <c r="C17" s="52" t="s">
        <v>83</v>
      </c>
      <c r="D17" s="52" t="s">
        <v>84</v>
      </c>
      <c r="E17" s="52" t="s">
        <v>61</v>
      </c>
      <c r="F17" s="52" t="s">
        <v>62</v>
      </c>
      <c r="G17" s="52" t="s">
        <v>19</v>
      </c>
      <c r="H17" s="52">
        <v>1</v>
      </c>
      <c r="I17" s="52">
        <v>899.99</v>
      </c>
      <c r="J17" s="52" t="s">
        <v>57</v>
      </c>
      <c r="K17" s="52" t="s">
        <v>40</v>
      </c>
      <c r="L17" s="52" t="s">
        <v>36</v>
      </c>
      <c r="M17" s="53">
        <v>44920</v>
      </c>
      <c r="N17" s="54">
        <v>899.99</v>
      </c>
      <c r="O17" s="32" t="str">
        <f t="shared" si="0"/>
        <v>Apr</v>
      </c>
      <c r="P17" s="32">
        <f t="shared" si="1"/>
        <v>2024</v>
      </c>
      <c r="Q17" s="32">
        <f t="shared" ca="1" si="2"/>
        <v>1361</v>
      </c>
      <c r="R17" s="32">
        <f t="shared" si="3"/>
        <v>45412</v>
      </c>
      <c r="S17" s="55">
        <f t="shared" ca="1" si="4"/>
        <v>46281.656764814812</v>
      </c>
      <c r="T17" s="32" t="str">
        <f t="shared" si="5"/>
        <v>Low Sale</v>
      </c>
      <c r="U17" s="73">
        <f t="shared" si="6"/>
        <v>1079.96</v>
      </c>
      <c r="V17" s="75"/>
      <c r="W17" s="3">
        <f t="shared" si="7"/>
        <v>2</v>
      </c>
      <c r="AC17" s="80" t="str">
        <v>Maria Garcia</v>
      </c>
      <c r="AD17" s="80">
        <v>3399.92</v>
      </c>
    </row>
    <row r="18" spans="1:30" ht="23.4" customHeight="1">
      <c r="A18" s="52" t="s">
        <v>85</v>
      </c>
      <c r="B18" s="53">
        <v>45410</v>
      </c>
      <c r="C18" s="52" t="s">
        <v>86</v>
      </c>
      <c r="D18" s="52" t="s">
        <v>87</v>
      </c>
      <c r="E18" s="52" t="s">
        <v>44</v>
      </c>
      <c r="F18" s="52" t="s">
        <v>45</v>
      </c>
      <c r="G18" s="52" t="s">
        <v>46</v>
      </c>
      <c r="H18" s="52">
        <v>4</v>
      </c>
      <c r="I18" s="52">
        <v>149.99</v>
      </c>
      <c r="J18" s="52" t="s">
        <v>57</v>
      </c>
      <c r="K18" s="52" t="s">
        <v>40</v>
      </c>
      <c r="L18" s="52" t="s">
        <v>27</v>
      </c>
      <c r="M18" s="53">
        <v>45374</v>
      </c>
      <c r="N18" s="54">
        <v>599.96</v>
      </c>
      <c r="O18" s="32" t="str">
        <f t="shared" si="0"/>
        <v>Apr</v>
      </c>
      <c r="P18" s="32">
        <f t="shared" si="1"/>
        <v>2024</v>
      </c>
      <c r="Q18" s="32">
        <f t="shared" ca="1" si="2"/>
        <v>907</v>
      </c>
      <c r="R18" s="32">
        <f t="shared" si="3"/>
        <v>45412</v>
      </c>
      <c r="S18" s="55">
        <f t="shared" ca="1" si="4"/>
        <v>46281.656764814812</v>
      </c>
      <c r="T18" s="32" t="str">
        <f t="shared" si="5"/>
        <v>Low Sale</v>
      </c>
      <c r="U18" s="73">
        <f t="shared" si="6"/>
        <v>12399.76</v>
      </c>
      <c r="V18" s="75"/>
      <c r="W18" s="3">
        <f t="shared" si="7"/>
        <v>8</v>
      </c>
      <c r="AC18" s="80" t="str">
        <v>Virginia Sanders</v>
      </c>
      <c r="AD18" s="80">
        <v>28738.740000000005</v>
      </c>
    </row>
    <row r="19" spans="1:30" ht="22.8" customHeight="1">
      <c r="A19" s="52" t="s">
        <v>88</v>
      </c>
      <c r="B19" s="53">
        <v>45410</v>
      </c>
      <c r="C19" s="52" t="s">
        <v>89</v>
      </c>
      <c r="D19" s="52" t="s">
        <v>90</v>
      </c>
      <c r="E19" s="52" t="s">
        <v>80</v>
      </c>
      <c r="F19" s="52" t="s">
        <v>81</v>
      </c>
      <c r="G19" s="52" t="s">
        <v>19</v>
      </c>
      <c r="H19" s="52">
        <v>2</v>
      </c>
      <c r="I19" s="52">
        <v>699.99</v>
      </c>
      <c r="J19" s="52" t="s">
        <v>20</v>
      </c>
      <c r="K19" s="52" t="s">
        <v>40</v>
      </c>
      <c r="L19" s="52" t="s">
        <v>22</v>
      </c>
      <c r="M19" s="53">
        <v>44781</v>
      </c>
      <c r="N19" s="54">
        <v>1399.98</v>
      </c>
      <c r="O19" s="32" t="str">
        <f t="shared" si="0"/>
        <v>Apr</v>
      </c>
      <c r="P19" s="32">
        <f t="shared" si="1"/>
        <v>2024</v>
      </c>
      <c r="Q19" s="32">
        <f t="shared" ca="1" si="2"/>
        <v>1500</v>
      </c>
      <c r="R19" s="32">
        <f t="shared" si="3"/>
        <v>45412</v>
      </c>
      <c r="S19" s="55">
        <f t="shared" ca="1" si="4"/>
        <v>46281.656764814812</v>
      </c>
      <c r="T19" s="32" t="str">
        <f t="shared" si="5"/>
        <v>High Sale</v>
      </c>
      <c r="U19" s="73">
        <f t="shared" si="6"/>
        <v>1699.96</v>
      </c>
      <c r="V19" s="75"/>
      <c r="W19" s="3">
        <f t="shared" si="7"/>
        <v>2</v>
      </c>
      <c r="AC19" s="80" t="str">
        <v>Barbara Young</v>
      </c>
      <c r="AD19" s="80">
        <v>12399.84</v>
      </c>
    </row>
    <row r="20" spans="1:30" ht="23.4" customHeight="1">
      <c r="A20" s="52" t="s">
        <v>91</v>
      </c>
      <c r="B20" s="53">
        <v>45410</v>
      </c>
      <c r="C20" s="52" t="s">
        <v>86</v>
      </c>
      <c r="D20" s="52" t="s">
        <v>87</v>
      </c>
      <c r="E20" s="52" t="s">
        <v>61</v>
      </c>
      <c r="F20" s="52" t="s">
        <v>62</v>
      </c>
      <c r="G20" s="52" t="s">
        <v>19</v>
      </c>
      <c r="H20" s="52">
        <v>4</v>
      </c>
      <c r="I20" s="52">
        <v>899.99</v>
      </c>
      <c r="J20" s="52" t="s">
        <v>26</v>
      </c>
      <c r="K20" s="52" t="s">
        <v>50</v>
      </c>
      <c r="L20" s="52" t="s">
        <v>36</v>
      </c>
      <c r="M20" s="53">
        <v>45327</v>
      </c>
      <c r="N20" s="54">
        <v>3599.96</v>
      </c>
      <c r="O20" s="32" t="str">
        <f t="shared" si="0"/>
        <v>Apr</v>
      </c>
      <c r="P20" s="32">
        <f t="shared" si="1"/>
        <v>2024</v>
      </c>
      <c r="Q20" s="32">
        <f t="shared" ca="1" si="2"/>
        <v>954</v>
      </c>
      <c r="R20" s="32">
        <f t="shared" si="3"/>
        <v>45412</v>
      </c>
      <c r="S20" s="55">
        <f t="shared" ca="1" si="4"/>
        <v>46281.656764814812</v>
      </c>
      <c r="T20" s="32" t="str">
        <f t="shared" si="5"/>
        <v>High Sale</v>
      </c>
      <c r="U20" s="73">
        <f t="shared" si="6"/>
        <v>12399.76</v>
      </c>
      <c r="V20" s="75"/>
      <c r="W20" s="3">
        <f t="shared" si="7"/>
        <v>8</v>
      </c>
      <c r="AC20" s="80" t="str">
        <v>Patricia Moore</v>
      </c>
      <c r="AD20" s="80">
        <v>33598.74</v>
      </c>
    </row>
    <row r="21" spans="1:30" ht="23.4" customHeight="1">
      <c r="A21" s="52" t="s">
        <v>92</v>
      </c>
      <c r="B21" s="53">
        <v>45410</v>
      </c>
      <c r="C21" s="52" t="s">
        <v>93</v>
      </c>
      <c r="D21" s="52" t="s">
        <v>94</v>
      </c>
      <c r="E21" s="52" t="s">
        <v>17</v>
      </c>
      <c r="F21" s="52" t="s">
        <v>18</v>
      </c>
      <c r="G21" s="52" t="s">
        <v>19</v>
      </c>
      <c r="H21" s="52">
        <v>3</v>
      </c>
      <c r="I21" s="52">
        <v>249.99</v>
      </c>
      <c r="J21" s="52" t="s">
        <v>26</v>
      </c>
      <c r="K21" s="52" t="s">
        <v>40</v>
      </c>
      <c r="L21" s="52" t="s">
        <v>27</v>
      </c>
      <c r="M21" s="53">
        <v>45224</v>
      </c>
      <c r="N21" s="54">
        <v>749.97</v>
      </c>
      <c r="O21" s="32" t="str">
        <f t="shared" si="0"/>
        <v>Apr</v>
      </c>
      <c r="P21" s="32">
        <f t="shared" si="1"/>
        <v>2024</v>
      </c>
      <c r="Q21" s="32">
        <f t="shared" ca="1" si="2"/>
        <v>1057</v>
      </c>
      <c r="R21" s="32">
        <f t="shared" si="3"/>
        <v>45412</v>
      </c>
      <c r="S21" s="55">
        <f t="shared" ca="1" si="4"/>
        <v>46281.656764814812</v>
      </c>
      <c r="T21" s="32" t="str">
        <f t="shared" si="5"/>
        <v>Low Sale</v>
      </c>
      <c r="U21" s="73">
        <f t="shared" si="6"/>
        <v>4789.7900000000009</v>
      </c>
      <c r="V21" s="75"/>
      <c r="W21" s="3">
        <f t="shared" si="7"/>
        <v>6</v>
      </c>
      <c r="AC21" s="80" t="str">
        <v>Cynthia Price</v>
      </c>
      <c r="AD21" s="80">
        <v>8159.7000000000007</v>
      </c>
    </row>
    <row r="22" spans="1:30" ht="27" customHeight="1">
      <c r="A22" s="52" t="s">
        <v>95</v>
      </c>
      <c r="B22" s="53">
        <v>45412</v>
      </c>
      <c r="C22" s="52" t="s">
        <v>96</v>
      </c>
      <c r="D22" s="52" t="s">
        <v>97</v>
      </c>
      <c r="E22" s="52" t="s">
        <v>80</v>
      </c>
      <c r="F22" s="52" t="s">
        <v>81</v>
      </c>
      <c r="G22" s="52" t="s">
        <v>19</v>
      </c>
      <c r="H22" s="52">
        <v>5</v>
      </c>
      <c r="I22" s="52">
        <v>699.99</v>
      </c>
      <c r="J22" s="52" t="s">
        <v>20</v>
      </c>
      <c r="K22" s="52" t="s">
        <v>50</v>
      </c>
      <c r="L22" s="52" t="s">
        <v>22</v>
      </c>
      <c r="M22" s="53">
        <v>45167</v>
      </c>
      <c r="N22" s="54">
        <v>3499.95</v>
      </c>
      <c r="O22" s="32" t="str">
        <f t="shared" si="0"/>
        <v>Apr</v>
      </c>
      <c r="P22" s="32">
        <f t="shared" si="1"/>
        <v>2024</v>
      </c>
      <c r="Q22" s="32">
        <f t="shared" ca="1" si="2"/>
        <v>1114</v>
      </c>
      <c r="R22" s="32">
        <f t="shared" si="3"/>
        <v>45412</v>
      </c>
      <c r="S22" s="55">
        <f t="shared" ca="1" si="4"/>
        <v>46281.656764814812</v>
      </c>
      <c r="T22" s="32" t="str">
        <f t="shared" si="5"/>
        <v>High Sale</v>
      </c>
      <c r="U22" s="73">
        <f t="shared" si="6"/>
        <v>6199.92</v>
      </c>
      <c r="V22" s="75"/>
      <c r="W22" s="3">
        <f t="shared" si="7"/>
        <v>2</v>
      </c>
      <c r="AC22" s="80" t="str">
        <v>Nancy Collins</v>
      </c>
      <c r="AD22" s="80">
        <v>18699</v>
      </c>
    </row>
    <row r="23" spans="1:30" ht="19.2" customHeight="1">
      <c r="A23" s="52" t="s">
        <v>98</v>
      </c>
      <c r="B23" s="53">
        <v>45413</v>
      </c>
      <c r="C23" s="52" t="s">
        <v>99</v>
      </c>
      <c r="D23" s="52" t="s">
        <v>100</v>
      </c>
      <c r="E23" s="52" t="s">
        <v>80</v>
      </c>
      <c r="F23" s="52" t="s">
        <v>81</v>
      </c>
      <c r="G23" s="52" t="s">
        <v>19</v>
      </c>
      <c r="H23" s="52">
        <v>4</v>
      </c>
      <c r="I23" s="52">
        <v>699.99</v>
      </c>
      <c r="J23" s="52" t="s">
        <v>20</v>
      </c>
      <c r="K23" s="52" t="s">
        <v>63</v>
      </c>
      <c r="L23" s="52" t="s">
        <v>36</v>
      </c>
      <c r="M23" s="53">
        <v>44409</v>
      </c>
      <c r="N23" s="54">
        <v>2799.96</v>
      </c>
      <c r="O23" s="32" t="str">
        <f t="shared" si="0"/>
        <v>May</v>
      </c>
      <c r="P23" s="32">
        <f t="shared" si="1"/>
        <v>2024</v>
      </c>
      <c r="Q23" s="32">
        <f t="shared" ca="1" si="2"/>
        <v>1872</v>
      </c>
      <c r="R23" s="32">
        <f t="shared" si="3"/>
        <v>45443</v>
      </c>
      <c r="S23" s="55">
        <f t="shared" ca="1" si="4"/>
        <v>46281.656764814812</v>
      </c>
      <c r="T23" s="32" t="str">
        <f t="shared" si="5"/>
        <v>High Sale</v>
      </c>
      <c r="U23" s="73">
        <f t="shared" si="6"/>
        <v>5599.79</v>
      </c>
      <c r="V23" s="75"/>
      <c r="W23" s="3">
        <f t="shared" si="7"/>
        <v>6</v>
      </c>
      <c r="AC23" s="80" t="str">
        <v>Linda Martin</v>
      </c>
      <c r="AD23" s="80">
        <v>2519.79</v>
      </c>
    </row>
    <row r="24" spans="1:30" ht="24" customHeight="1">
      <c r="A24" s="52" t="s">
        <v>101</v>
      </c>
      <c r="B24" s="53">
        <v>45415</v>
      </c>
      <c r="C24" s="52" t="s">
        <v>102</v>
      </c>
      <c r="D24" s="52" t="s">
        <v>103</v>
      </c>
      <c r="E24" s="52" t="s">
        <v>17</v>
      </c>
      <c r="F24" s="52" t="s">
        <v>18</v>
      </c>
      <c r="G24" s="52" t="s">
        <v>19</v>
      </c>
      <c r="H24" s="52">
        <v>4</v>
      </c>
      <c r="I24" s="52">
        <v>249.99</v>
      </c>
      <c r="J24" s="52" t="s">
        <v>34</v>
      </c>
      <c r="K24" s="52" t="s">
        <v>40</v>
      </c>
      <c r="L24" s="52" t="s">
        <v>36</v>
      </c>
      <c r="M24" s="53">
        <v>44468</v>
      </c>
      <c r="N24" s="54">
        <v>999.96</v>
      </c>
      <c r="O24" s="32" t="str">
        <f t="shared" si="0"/>
        <v>May</v>
      </c>
      <c r="P24" s="32">
        <f t="shared" si="1"/>
        <v>2024</v>
      </c>
      <c r="Q24" s="32">
        <f t="shared" ca="1" si="2"/>
        <v>1813</v>
      </c>
      <c r="R24" s="32">
        <f t="shared" si="3"/>
        <v>45443</v>
      </c>
      <c r="S24" s="55">
        <f t="shared" ca="1" si="4"/>
        <v>46281.656764814812</v>
      </c>
      <c r="T24" s="32" t="str">
        <f t="shared" si="5"/>
        <v>Low Sale</v>
      </c>
      <c r="U24" s="73">
        <f t="shared" si="6"/>
        <v>2719.9</v>
      </c>
      <c r="V24" s="75"/>
      <c r="W24" s="3">
        <f t="shared" si="7"/>
        <v>3</v>
      </c>
      <c r="AC24" s="80" t="str">
        <v>Helen Roberts</v>
      </c>
      <c r="AD24" s="80">
        <v>13549.2</v>
      </c>
    </row>
    <row r="25" spans="1:30" ht="22.2" customHeight="1">
      <c r="A25" s="52" t="s">
        <v>104</v>
      </c>
      <c r="B25" s="53">
        <v>45416</v>
      </c>
      <c r="C25" s="52" t="s">
        <v>86</v>
      </c>
      <c r="D25" s="52" t="s">
        <v>87</v>
      </c>
      <c r="E25" s="52" t="s">
        <v>105</v>
      </c>
      <c r="F25" s="52" t="s">
        <v>106</v>
      </c>
      <c r="G25" s="52" t="s">
        <v>46</v>
      </c>
      <c r="H25" s="52">
        <v>4</v>
      </c>
      <c r="I25" s="52">
        <v>299.99</v>
      </c>
      <c r="J25" s="52" t="s">
        <v>20</v>
      </c>
      <c r="K25" s="52" t="s">
        <v>50</v>
      </c>
      <c r="L25" s="52" t="s">
        <v>27</v>
      </c>
      <c r="M25" s="53">
        <v>44716</v>
      </c>
      <c r="N25" s="54">
        <v>1199.96</v>
      </c>
      <c r="O25" s="32" t="str">
        <f t="shared" si="0"/>
        <v>May</v>
      </c>
      <c r="P25" s="32">
        <f t="shared" si="1"/>
        <v>2024</v>
      </c>
      <c r="Q25" s="32">
        <f t="shared" ca="1" si="2"/>
        <v>1565</v>
      </c>
      <c r="R25" s="32">
        <f t="shared" si="3"/>
        <v>45443</v>
      </c>
      <c r="S25" s="55">
        <f t="shared" ca="1" si="4"/>
        <v>46281.656764814812</v>
      </c>
      <c r="T25" s="32" t="str">
        <f t="shared" si="5"/>
        <v>High Sale</v>
      </c>
      <c r="U25" s="73">
        <f t="shared" si="6"/>
        <v>12399.76</v>
      </c>
      <c r="V25" s="75"/>
      <c r="W25" s="3">
        <f t="shared" si="7"/>
        <v>8</v>
      </c>
      <c r="AC25" s="80" t="str">
        <v>Edward Mitchell</v>
      </c>
      <c r="AD25" s="80">
        <v>37099.1</v>
      </c>
    </row>
    <row r="26" spans="1:30" ht="14.4">
      <c r="A26" s="52" t="s">
        <v>107</v>
      </c>
      <c r="B26" s="53">
        <v>45422</v>
      </c>
      <c r="C26" s="52" t="s">
        <v>108</v>
      </c>
      <c r="D26" s="52" t="s">
        <v>109</v>
      </c>
      <c r="E26" s="52" t="s">
        <v>17</v>
      </c>
      <c r="F26" s="52" t="s">
        <v>18</v>
      </c>
      <c r="G26" s="52" t="s">
        <v>19</v>
      </c>
      <c r="H26" s="52">
        <v>5</v>
      </c>
      <c r="I26" s="52">
        <v>249.99</v>
      </c>
      <c r="J26" s="52" t="s">
        <v>26</v>
      </c>
      <c r="K26" s="52" t="s">
        <v>50</v>
      </c>
      <c r="L26" s="52" t="s">
        <v>36</v>
      </c>
      <c r="M26" s="53">
        <v>44525</v>
      </c>
      <c r="N26" s="54">
        <v>1249.95</v>
      </c>
      <c r="O26" s="32" t="str">
        <f t="shared" si="0"/>
        <v>May</v>
      </c>
      <c r="P26" s="32">
        <f t="shared" si="1"/>
        <v>2024</v>
      </c>
      <c r="Q26" s="32">
        <f t="shared" ca="1" si="2"/>
        <v>1756</v>
      </c>
      <c r="R26" s="32">
        <f t="shared" si="3"/>
        <v>45443</v>
      </c>
      <c r="S26" s="55">
        <f t="shared" ca="1" si="4"/>
        <v>46281.656764814812</v>
      </c>
      <c r="T26" s="32" t="str">
        <f t="shared" si="5"/>
        <v>High Sale</v>
      </c>
      <c r="U26" s="73">
        <f t="shared" si="6"/>
        <v>3739.7999999999997</v>
      </c>
      <c r="V26" s="75"/>
      <c r="W26" s="3">
        <f t="shared" si="7"/>
        <v>5</v>
      </c>
      <c r="AC26" s="80" t="str">
        <v>Lisa Anderson</v>
      </c>
      <c r="AD26" s="80">
        <v>10199</v>
      </c>
    </row>
    <row r="27" spans="1:30" ht="14.4">
      <c r="A27" s="52" t="s">
        <v>110</v>
      </c>
      <c r="B27" s="53">
        <v>45424</v>
      </c>
      <c r="C27" s="52" t="s">
        <v>68</v>
      </c>
      <c r="D27" s="52" t="s">
        <v>69</v>
      </c>
      <c r="E27" s="52" t="s">
        <v>105</v>
      </c>
      <c r="F27" s="52" t="s">
        <v>106</v>
      </c>
      <c r="G27" s="52" t="s">
        <v>46</v>
      </c>
      <c r="H27" s="52">
        <v>5</v>
      </c>
      <c r="I27" s="52">
        <v>299.99</v>
      </c>
      <c r="J27" s="52" t="s">
        <v>34</v>
      </c>
      <c r="K27" s="52" t="s">
        <v>63</v>
      </c>
      <c r="L27" s="52" t="s">
        <v>22</v>
      </c>
      <c r="M27" s="53">
        <v>45168</v>
      </c>
      <c r="N27" s="54">
        <v>1499.95</v>
      </c>
      <c r="O27" s="32" t="str">
        <f t="shared" si="0"/>
        <v>May</v>
      </c>
      <c r="P27" s="32">
        <f t="shared" si="1"/>
        <v>2024</v>
      </c>
      <c r="Q27" s="32">
        <f t="shared" ca="1" si="2"/>
        <v>1113</v>
      </c>
      <c r="R27" s="32">
        <f t="shared" si="3"/>
        <v>45443</v>
      </c>
      <c r="S27" s="55">
        <f t="shared" ca="1" si="4"/>
        <v>46281.656764814812</v>
      </c>
      <c r="T27" s="32" t="str">
        <f t="shared" si="5"/>
        <v>High Sale</v>
      </c>
      <c r="U27" s="73">
        <f t="shared" si="6"/>
        <v>1889.9</v>
      </c>
      <c r="V27" s="75"/>
      <c r="W27" s="3">
        <f t="shared" si="7"/>
        <v>3</v>
      </c>
      <c r="AC27" s="80" t="str">
        <v>Emma Wilson</v>
      </c>
      <c r="AD27" s="80">
        <v>2609.79</v>
      </c>
    </row>
    <row r="28" spans="1:30" ht="14.4">
      <c r="A28" s="52" t="s">
        <v>111</v>
      </c>
      <c r="B28" s="53">
        <v>45424</v>
      </c>
      <c r="C28" s="52" t="s">
        <v>112</v>
      </c>
      <c r="D28" s="52" t="s">
        <v>113</v>
      </c>
      <c r="E28" s="52" t="s">
        <v>114</v>
      </c>
      <c r="F28" s="52" t="s">
        <v>115</v>
      </c>
      <c r="G28" s="52" t="s">
        <v>33</v>
      </c>
      <c r="H28" s="52">
        <v>3</v>
      </c>
      <c r="I28" s="52">
        <v>79.989999999999995</v>
      </c>
      <c r="J28" s="52" t="s">
        <v>34</v>
      </c>
      <c r="K28" s="52" t="s">
        <v>63</v>
      </c>
      <c r="L28" s="52" t="s">
        <v>27</v>
      </c>
      <c r="M28" s="53">
        <v>45012</v>
      </c>
      <c r="N28" s="54">
        <v>239.97</v>
      </c>
      <c r="O28" s="32" t="str">
        <f t="shared" si="0"/>
        <v>May</v>
      </c>
      <c r="P28" s="32">
        <f t="shared" si="1"/>
        <v>2024</v>
      </c>
      <c r="Q28" s="32">
        <f t="shared" ca="1" si="2"/>
        <v>1269</v>
      </c>
      <c r="R28" s="32">
        <f t="shared" si="3"/>
        <v>45443</v>
      </c>
      <c r="S28" s="55">
        <f t="shared" ca="1" si="4"/>
        <v>46281.656764814812</v>
      </c>
      <c r="T28" s="32" t="str">
        <f t="shared" si="5"/>
        <v>Low Sale</v>
      </c>
      <c r="U28" s="73">
        <f t="shared" si="6"/>
        <v>839.93000000000006</v>
      </c>
      <c r="V28" s="75"/>
      <c r="W28" s="3">
        <f t="shared" si="7"/>
        <v>3</v>
      </c>
      <c r="AC28" s="80" t="str">
        <v>Steven Turner</v>
      </c>
      <c r="AD28" s="80">
        <v>12349.300000000003</v>
      </c>
    </row>
    <row r="29" spans="1:30" ht="14.4">
      <c r="A29" s="52" t="s">
        <v>116</v>
      </c>
      <c r="B29" s="53">
        <v>45424</v>
      </c>
      <c r="C29" s="52" t="s">
        <v>99</v>
      </c>
      <c r="D29" s="52" t="s">
        <v>100</v>
      </c>
      <c r="E29" s="52" t="s">
        <v>117</v>
      </c>
      <c r="F29" s="52" t="s">
        <v>118</v>
      </c>
      <c r="G29" s="52" t="s">
        <v>19</v>
      </c>
      <c r="H29" s="52">
        <v>5</v>
      </c>
      <c r="I29" s="52">
        <v>89.99</v>
      </c>
      <c r="J29" s="52" t="s">
        <v>20</v>
      </c>
      <c r="K29" s="52" t="s">
        <v>40</v>
      </c>
      <c r="L29" s="52" t="s">
        <v>27</v>
      </c>
      <c r="M29" s="53">
        <v>44919</v>
      </c>
      <c r="N29" s="54">
        <v>449.95</v>
      </c>
      <c r="O29" s="32" t="str">
        <f t="shared" si="0"/>
        <v>May</v>
      </c>
      <c r="P29" s="32">
        <f t="shared" si="1"/>
        <v>2024</v>
      </c>
      <c r="Q29" s="32">
        <f t="shared" ca="1" si="2"/>
        <v>1362</v>
      </c>
      <c r="R29" s="32">
        <f t="shared" si="3"/>
        <v>45443</v>
      </c>
      <c r="S29" s="55">
        <f t="shared" ca="1" si="4"/>
        <v>46281.656764814812</v>
      </c>
      <c r="T29" s="32" t="str">
        <f t="shared" si="5"/>
        <v>Low Sale</v>
      </c>
      <c r="U29" s="73">
        <f t="shared" si="6"/>
        <v>5599.79</v>
      </c>
      <c r="V29" s="75"/>
      <c r="W29" s="3">
        <f t="shared" si="7"/>
        <v>6</v>
      </c>
      <c r="AC29" s="80" t="str">
        <v>Jennifer Taylor</v>
      </c>
      <c r="AD29" s="80">
        <v>7639.82</v>
      </c>
    </row>
    <row r="30" spans="1:30" ht="14.4">
      <c r="A30" s="52" t="s">
        <v>119</v>
      </c>
      <c r="B30" s="53">
        <v>45425</v>
      </c>
      <c r="C30" s="52" t="s">
        <v>120</v>
      </c>
      <c r="D30" s="52" t="s">
        <v>121</v>
      </c>
      <c r="E30" s="52" t="s">
        <v>31</v>
      </c>
      <c r="F30" s="52" t="s">
        <v>32</v>
      </c>
      <c r="G30" s="52" t="s">
        <v>33</v>
      </c>
      <c r="H30" s="52">
        <v>2</v>
      </c>
      <c r="I30" s="52">
        <v>59.99</v>
      </c>
      <c r="J30" s="52" t="s">
        <v>57</v>
      </c>
      <c r="K30" s="52" t="s">
        <v>21</v>
      </c>
      <c r="L30" s="52" t="s">
        <v>36</v>
      </c>
      <c r="M30" s="53">
        <v>45214</v>
      </c>
      <c r="N30" s="54">
        <v>119.98</v>
      </c>
      <c r="O30" s="32" t="str">
        <f t="shared" si="0"/>
        <v>May</v>
      </c>
      <c r="P30" s="32">
        <f t="shared" si="1"/>
        <v>2024</v>
      </c>
      <c r="Q30" s="32">
        <f t="shared" ca="1" si="2"/>
        <v>1067</v>
      </c>
      <c r="R30" s="32">
        <f t="shared" si="3"/>
        <v>45443</v>
      </c>
      <c r="S30" s="55">
        <f t="shared" ca="1" si="4"/>
        <v>46281.656764814812</v>
      </c>
      <c r="T30" s="32" t="str">
        <f t="shared" si="5"/>
        <v>Low Sale</v>
      </c>
      <c r="U30" s="73">
        <f t="shared" si="6"/>
        <v>2709.84</v>
      </c>
      <c r="V30" s="75"/>
      <c r="W30" s="3">
        <f t="shared" si="7"/>
        <v>5</v>
      </c>
      <c r="AC30" s="80" t="str">
        <v>Harry Morgan</v>
      </c>
      <c r="AD30" s="80">
        <v>15059.73</v>
      </c>
    </row>
    <row r="31" spans="1:30" ht="14.4">
      <c r="A31" s="52" t="s">
        <v>122</v>
      </c>
      <c r="B31" s="53">
        <v>45427</v>
      </c>
      <c r="C31" s="52" t="s">
        <v>123</v>
      </c>
      <c r="D31" s="52" t="s">
        <v>124</v>
      </c>
      <c r="E31" s="52" t="s">
        <v>31</v>
      </c>
      <c r="F31" s="52" t="s">
        <v>32</v>
      </c>
      <c r="G31" s="52" t="s">
        <v>33</v>
      </c>
      <c r="H31" s="52">
        <v>4</v>
      </c>
      <c r="I31" s="52">
        <v>59.99</v>
      </c>
      <c r="J31" s="52" t="s">
        <v>57</v>
      </c>
      <c r="K31" s="52" t="s">
        <v>63</v>
      </c>
      <c r="L31" s="52" t="s">
        <v>36</v>
      </c>
      <c r="M31" s="53">
        <v>44867</v>
      </c>
      <c r="N31" s="54">
        <v>239.96</v>
      </c>
      <c r="O31" s="32" t="str">
        <f t="shared" si="0"/>
        <v>May</v>
      </c>
      <c r="P31" s="32">
        <f t="shared" si="1"/>
        <v>2024</v>
      </c>
      <c r="Q31" s="32">
        <f t="shared" ca="1" si="2"/>
        <v>1414</v>
      </c>
      <c r="R31" s="32">
        <f t="shared" si="3"/>
        <v>45443</v>
      </c>
      <c r="S31" s="55">
        <f t="shared" ca="1" si="4"/>
        <v>46281.656764814812</v>
      </c>
      <c r="T31" s="32" t="str">
        <f t="shared" si="5"/>
        <v>Low Sale</v>
      </c>
      <c r="U31" s="73">
        <f t="shared" si="6"/>
        <v>7419.82</v>
      </c>
      <c r="V31" s="75"/>
      <c r="W31" s="3">
        <f t="shared" si="7"/>
        <v>5</v>
      </c>
      <c r="AC31" s="80" t="str">
        <v>Daniel King</v>
      </c>
      <c r="AD31" s="80">
        <v>14279.759999999998</v>
      </c>
    </row>
    <row r="32" spans="1:30" ht="14.4">
      <c r="A32" s="52" t="s">
        <v>125</v>
      </c>
      <c r="B32" s="53">
        <v>45427</v>
      </c>
      <c r="C32" s="52" t="s">
        <v>55</v>
      </c>
      <c r="D32" s="52" t="s">
        <v>56</v>
      </c>
      <c r="E32" s="52" t="s">
        <v>126</v>
      </c>
      <c r="F32" s="52" t="s">
        <v>127</v>
      </c>
      <c r="G32" s="52" t="s">
        <v>46</v>
      </c>
      <c r="H32" s="52">
        <v>5</v>
      </c>
      <c r="I32" s="52">
        <v>199.99</v>
      </c>
      <c r="J32" s="52" t="s">
        <v>20</v>
      </c>
      <c r="K32" s="52" t="s">
        <v>35</v>
      </c>
      <c r="L32" s="52" t="s">
        <v>36</v>
      </c>
      <c r="M32" s="53">
        <v>44412</v>
      </c>
      <c r="N32" s="54">
        <v>999.95</v>
      </c>
      <c r="O32" s="32" t="str">
        <f t="shared" si="0"/>
        <v>May</v>
      </c>
      <c r="P32" s="32">
        <f t="shared" si="1"/>
        <v>2024</v>
      </c>
      <c r="Q32" s="32">
        <f t="shared" ca="1" si="2"/>
        <v>1869</v>
      </c>
      <c r="R32" s="32">
        <f t="shared" si="3"/>
        <v>45443</v>
      </c>
      <c r="S32" s="55">
        <f t="shared" ca="1" si="4"/>
        <v>46281.656764814812</v>
      </c>
      <c r="T32" s="32" t="str">
        <f t="shared" si="5"/>
        <v>Low Sale</v>
      </c>
      <c r="U32" s="73">
        <f t="shared" si="6"/>
        <v>4919.7500000000009</v>
      </c>
      <c r="V32" s="75"/>
      <c r="W32" s="3">
        <f t="shared" si="7"/>
        <v>7</v>
      </c>
      <c r="AC32" s="80" t="str">
        <v>Sharon Butler</v>
      </c>
      <c r="AD32" s="80">
        <v>15279.56</v>
      </c>
    </row>
    <row r="33" spans="1:30" ht="14.4">
      <c r="A33" s="52" t="s">
        <v>128</v>
      </c>
      <c r="B33" s="53">
        <v>45428</v>
      </c>
      <c r="C33" s="52" t="s">
        <v>129</v>
      </c>
      <c r="D33" s="52" t="s">
        <v>130</v>
      </c>
      <c r="E33" s="52" t="s">
        <v>44</v>
      </c>
      <c r="F33" s="52" t="s">
        <v>45</v>
      </c>
      <c r="G33" s="52" t="s">
        <v>46</v>
      </c>
      <c r="H33" s="52">
        <v>2</v>
      </c>
      <c r="I33" s="52">
        <v>149.99</v>
      </c>
      <c r="J33" s="52" t="s">
        <v>26</v>
      </c>
      <c r="K33" s="52" t="s">
        <v>50</v>
      </c>
      <c r="L33" s="52" t="s">
        <v>22</v>
      </c>
      <c r="M33" s="53">
        <v>44823</v>
      </c>
      <c r="N33" s="54">
        <v>299.98</v>
      </c>
      <c r="O33" s="32" t="str">
        <f t="shared" si="0"/>
        <v>May</v>
      </c>
      <c r="P33" s="32">
        <f t="shared" si="1"/>
        <v>2024</v>
      </c>
      <c r="Q33" s="32">
        <f t="shared" ca="1" si="2"/>
        <v>1458</v>
      </c>
      <c r="R33" s="32">
        <f t="shared" si="3"/>
        <v>45443</v>
      </c>
      <c r="S33" s="55">
        <f t="shared" ca="1" si="4"/>
        <v>46281.656764814812</v>
      </c>
      <c r="T33" s="32" t="str">
        <f t="shared" si="5"/>
        <v>Low Sale</v>
      </c>
      <c r="U33" s="73">
        <f t="shared" si="6"/>
        <v>2039.8000000000002</v>
      </c>
      <c r="V33" s="75"/>
      <c r="W33" s="3">
        <f t="shared" si="7"/>
        <v>5</v>
      </c>
      <c r="AC33" s="80" t="str">
        <v>Sarah Davis</v>
      </c>
      <c r="AD33" s="80">
        <v>18799.400000000001</v>
      </c>
    </row>
    <row r="34" spans="1:30" ht="14.4">
      <c r="A34" s="52" t="s">
        <v>131</v>
      </c>
      <c r="B34" s="53">
        <v>45430</v>
      </c>
      <c r="C34" s="52" t="s">
        <v>132</v>
      </c>
      <c r="D34" s="52" t="s">
        <v>133</v>
      </c>
      <c r="E34" s="52" t="s">
        <v>44</v>
      </c>
      <c r="F34" s="52" t="s">
        <v>45</v>
      </c>
      <c r="G34" s="52" t="s">
        <v>46</v>
      </c>
      <c r="H34" s="52">
        <v>3</v>
      </c>
      <c r="I34" s="52">
        <v>149.99</v>
      </c>
      <c r="J34" s="52" t="s">
        <v>26</v>
      </c>
      <c r="K34" s="52" t="s">
        <v>50</v>
      </c>
      <c r="L34" s="52" t="s">
        <v>27</v>
      </c>
      <c r="M34" s="53">
        <v>45068</v>
      </c>
      <c r="N34" s="54">
        <v>449.97</v>
      </c>
      <c r="O34" s="32" t="str">
        <f t="shared" si="0"/>
        <v>May</v>
      </c>
      <c r="P34" s="32">
        <f t="shared" si="1"/>
        <v>2024</v>
      </c>
      <c r="Q34" s="32">
        <f t="shared" ca="1" si="2"/>
        <v>1213</v>
      </c>
      <c r="R34" s="32">
        <f t="shared" si="3"/>
        <v>45443</v>
      </c>
      <c r="S34" s="55">
        <f t="shared" ca="1" si="4"/>
        <v>46281.656764814812</v>
      </c>
      <c r="T34" s="32" t="str">
        <f t="shared" si="5"/>
        <v>Low Sale</v>
      </c>
      <c r="U34" s="73">
        <f t="shared" ref="U34:U65" si="8">SUMIFS($N:$N, $D:$D, D34)</f>
        <v>869.93000000000006</v>
      </c>
      <c r="V34" s="75"/>
      <c r="W34" s="3">
        <f t="shared" ref="W34:W65" si="9">COUNTIF($D$2:$D$171,D34)</f>
        <v>3</v>
      </c>
      <c r="AC34" s="80" t="str">
        <v>Betty Campbell</v>
      </c>
      <c r="AD34" s="80">
        <v>13769.699999999999</v>
      </c>
    </row>
    <row r="35" spans="1:30" ht="14.4">
      <c r="A35" s="52" t="s">
        <v>134</v>
      </c>
      <c r="B35" s="53">
        <v>45432</v>
      </c>
      <c r="C35" s="52" t="s">
        <v>29</v>
      </c>
      <c r="D35" s="52" t="s">
        <v>30</v>
      </c>
      <c r="E35" s="52" t="s">
        <v>61</v>
      </c>
      <c r="F35" s="52" t="s">
        <v>62</v>
      </c>
      <c r="G35" s="52" t="s">
        <v>19</v>
      </c>
      <c r="H35" s="52">
        <v>1</v>
      </c>
      <c r="I35" s="52">
        <v>899.99</v>
      </c>
      <c r="J35" s="52" t="s">
        <v>26</v>
      </c>
      <c r="K35" s="52" t="s">
        <v>50</v>
      </c>
      <c r="L35" s="52" t="s">
        <v>27</v>
      </c>
      <c r="M35" s="53">
        <v>44578</v>
      </c>
      <c r="N35" s="54">
        <v>899.99</v>
      </c>
      <c r="O35" s="32" t="str">
        <f t="shared" si="0"/>
        <v>May</v>
      </c>
      <c r="P35" s="32">
        <f t="shared" si="1"/>
        <v>2024</v>
      </c>
      <c r="Q35" s="32">
        <f t="shared" ca="1" si="2"/>
        <v>1703</v>
      </c>
      <c r="R35" s="32">
        <f t="shared" si="3"/>
        <v>45443</v>
      </c>
      <c r="S35" s="55">
        <f t="shared" ca="1" si="4"/>
        <v>46281.656764814812</v>
      </c>
      <c r="T35" s="32" t="str">
        <f t="shared" si="5"/>
        <v>Low Sale</v>
      </c>
      <c r="U35" s="73">
        <f t="shared" si="8"/>
        <v>3179.88</v>
      </c>
      <c r="V35" s="75"/>
      <c r="W35" s="3">
        <f t="shared" si="9"/>
        <v>5</v>
      </c>
      <c r="AC35" s="80" t="str">
        <v>Julie Foster</v>
      </c>
      <c r="AD35" s="80">
        <v>239.96</v>
      </c>
    </row>
    <row r="36" spans="1:30" ht="14.4">
      <c r="A36" s="52" t="s">
        <v>135</v>
      </c>
      <c r="B36" s="53">
        <v>45434</v>
      </c>
      <c r="C36" s="52" t="s">
        <v>99</v>
      </c>
      <c r="D36" s="52" t="s">
        <v>100</v>
      </c>
      <c r="E36" s="52" t="s">
        <v>105</v>
      </c>
      <c r="F36" s="52" t="s">
        <v>106</v>
      </c>
      <c r="G36" s="52" t="s">
        <v>46</v>
      </c>
      <c r="H36" s="52">
        <v>3</v>
      </c>
      <c r="I36" s="52">
        <v>299.99</v>
      </c>
      <c r="J36" s="52" t="s">
        <v>26</v>
      </c>
      <c r="K36" s="52" t="s">
        <v>63</v>
      </c>
      <c r="L36" s="52" t="s">
        <v>22</v>
      </c>
      <c r="M36" s="53">
        <v>44824</v>
      </c>
      <c r="N36" s="54">
        <v>899.97</v>
      </c>
      <c r="O36" s="32" t="str">
        <f t="shared" si="0"/>
        <v>May</v>
      </c>
      <c r="P36" s="32">
        <f t="shared" si="1"/>
        <v>2024</v>
      </c>
      <c r="Q36" s="32">
        <f t="shared" ca="1" si="2"/>
        <v>1457</v>
      </c>
      <c r="R36" s="32">
        <f t="shared" si="3"/>
        <v>45443</v>
      </c>
      <c r="S36" s="55">
        <f t="shared" ca="1" si="4"/>
        <v>46281.656764814812</v>
      </c>
      <c r="T36" s="32" t="str">
        <f t="shared" si="5"/>
        <v>Low Sale</v>
      </c>
      <c r="U36" s="73">
        <f t="shared" si="8"/>
        <v>5599.79</v>
      </c>
      <c r="V36" s="75"/>
      <c r="W36" s="3">
        <f t="shared" si="9"/>
        <v>6</v>
      </c>
      <c r="AC36" s="80" t="str">
        <v>Lawrence Reed</v>
      </c>
      <c r="AD36" s="80">
        <v>32098.92</v>
      </c>
    </row>
    <row r="37" spans="1:30" ht="14.4">
      <c r="A37" s="52" t="s">
        <v>136</v>
      </c>
      <c r="B37" s="53">
        <v>45435</v>
      </c>
      <c r="C37" s="52" t="s">
        <v>129</v>
      </c>
      <c r="D37" s="52" t="s">
        <v>130</v>
      </c>
      <c r="E37" s="52" t="s">
        <v>114</v>
      </c>
      <c r="F37" s="52" t="s">
        <v>115</v>
      </c>
      <c r="G37" s="52" t="s">
        <v>33</v>
      </c>
      <c r="H37" s="52">
        <v>3</v>
      </c>
      <c r="I37" s="52">
        <v>79.989999999999995</v>
      </c>
      <c r="J37" s="52" t="s">
        <v>20</v>
      </c>
      <c r="K37" s="52" t="s">
        <v>35</v>
      </c>
      <c r="L37" s="52" t="s">
        <v>22</v>
      </c>
      <c r="M37" s="53">
        <v>45046</v>
      </c>
      <c r="N37" s="54">
        <v>239.97</v>
      </c>
      <c r="O37" s="32" t="str">
        <f t="shared" si="0"/>
        <v>May</v>
      </c>
      <c r="P37" s="32">
        <f t="shared" si="1"/>
        <v>2024</v>
      </c>
      <c r="Q37" s="32">
        <f t="shared" ca="1" si="2"/>
        <v>1235</v>
      </c>
      <c r="R37" s="32">
        <f t="shared" si="3"/>
        <v>45443</v>
      </c>
      <c r="S37" s="55">
        <f t="shared" ca="1" si="4"/>
        <v>46281.656764814812</v>
      </c>
      <c r="T37" s="32" t="str">
        <f t="shared" si="5"/>
        <v>Low Sale</v>
      </c>
      <c r="U37" s="73">
        <f t="shared" si="8"/>
        <v>2039.8000000000002</v>
      </c>
      <c r="V37" s="75"/>
      <c r="W37" s="3">
        <f t="shared" si="9"/>
        <v>5</v>
      </c>
      <c r="AC37" s="80" t="str">
        <v>Raymond Ross</v>
      </c>
      <c r="AD37" s="80">
        <v>269.97000000000003</v>
      </c>
    </row>
    <row r="38" spans="1:30" ht="14.4">
      <c r="A38" s="52" t="s">
        <v>137</v>
      </c>
      <c r="B38" s="53">
        <v>45438</v>
      </c>
      <c r="C38" s="52" t="s">
        <v>138</v>
      </c>
      <c r="D38" s="52" t="s">
        <v>139</v>
      </c>
      <c r="E38" s="52" t="s">
        <v>126</v>
      </c>
      <c r="F38" s="52" t="s">
        <v>127</v>
      </c>
      <c r="G38" s="52" t="s">
        <v>46</v>
      </c>
      <c r="H38" s="52">
        <v>3</v>
      </c>
      <c r="I38" s="52">
        <v>199.99</v>
      </c>
      <c r="J38" s="52" t="s">
        <v>26</v>
      </c>
      <c r="K38" s="52" t="s">
        <v>40</v>
      </c>
      <c r="L38" s="52" t="s">
        <v>27</v>
      </c>
      <c r="M38" s="53">
        <v>45292</v>
      </c>
      <c r="N38" s="54">
        <v>599.97</v>
      </c>
      <c r="O38" s="32" t="str">
        <f t="shared" si="0"/>
        <v>May</v>
      </c>
      <c r="P38" s="32">
        <f t="shared" si="1"/>
        <v>2024</v>
      </c>
      <c r="Q38" s="32">
        <f t="shared" ca="1" si="2"/>
        <v>989</v>
      </c>
      <c r="R38" s="32">
        <f t="shared" si="3"/>
        <v>45443</v>
      </c>
      <c r="S38" s="55">
        <f t="shared" ca="1" si="4"/>
        <v>46281.656764814812</v>
      </c>
      <c r="T38" s="32" t="str">
        <f t="shared" si="5"/>
        <v>Low Sale</v>
      </c>
      <c r="U38" s="73">
        <f t="shared" si="8"/>
        <v>2469.8600000000006</v>
      </c>
      <c r="V38" s="75"/>
      <c r="W38" s="3">
        <f t="shared" si="9"/>
        <v>5</v>
      </c>
      <c r="AC38" s="80" t="str">
        <v>Margaret Wright</v>
      </c>
      <c r="AD38" s="80">
        <v>1399.88</v>
      </c>
    </row>
    <row r="39" spans="1:30" ht="14.4">
      <c r="A39" s="52" t="s">
        <v>140</v>
      </c>
      <c r="B39" s="53">
        <v>45440</v>
      </c>
      <c r="C39" s="52" t="s">
        <v>141</v>
      </c>
      <c r="D39" s="52" t="s">
        <v>142</v>
      </c>
      <c r="E39" s="52" t="s">
        <v>80</v>
      </c>
      <c r="F39" s="52" t="s">
        <v>81</v>
      </c>
      <c r="G39" s="52" t="s">
        <v>19</v>
      </c>
      <c r="H39" s="52">
        <v>5</v>
      </c>
      <c r="I39" s="52">
        <v>699.99</v>
      </c>
      <c r="J39" s="52" t="s">
        <v>34</v>
      </c>
      <c r="K39" s="52" t="s">
        <v>50</v>
      </c>
      <c r="L39" s="52" t="s">
        <v>36</v>
      </c>
      <c r="M39" s="53">
        <v>44407</v>
      </c>
      <c r="N39" s="54">
        <v>3499.95</v>
      </c>
      <c r="O39" s="32" t="str">
        <f t="shared" si="0"/>
        <v>May</v>
      </c>
      <c r="P39" s="32">
        <f t="shared" si="1"/>
        <v>2024</v>
      </c>
      <c r="Q39" s="32">
        <f t="shared" ca="1" si="2"/>
        <v>1874</v>
      </c>
      <c r="R39" s="32">
        <f t="shared" si="3"/>
        <v>45443</v>
      </c>
      <c r="S39" s="55">
        <f t="shared" ca="1" si="4"/>
        <v>46281.656764814812</v>
      </c>
      <c r="T39" s="32" t="str">
        <f t="shared" si="5"/>
        <v>High Sale</v>
      </c>
      <c r="U39" s="73">
        <f t="shared" si="8"/>
        <v>3819.91</v>
      </c>
      <c r="V39" s="75"/>
      <c r="W39" s="3">
        <f t="shared" si="9"/>
        <v>2</v>
      </c>
      <c r="AC39" s="80" t="str">
        <v>Sandra Phillips</v>
      </c>
      <c r="AD39" s="80">
        <v>3299.84</v>
      </c>
    </row>
    <row r="40" spans="1:30" ht="14.4">
      <c r="A40" s="52" t="s">
        <v>143</v>
      </c>
      <c r="B40" s="53">
        <v>45441</v>
      </c>
      <c r="C40" s="52" t="s">
        <v>144</v>
      </c>
      <c r="D40" s="52" t="s">
        <v>145</v>
      </c>
      <c r="E40" s="52" t="s">
        <v>117</v>
      </c>
      <c r="F40" s="52" t="s">
        <v>118</v>
      </c>
      <c r="G40" s="52" t="s">
        <v>19</v>
      </c>
      <c r="H40" s="52">
        <v>3</v>
      </c>
      <c r="I40" s="52">
        <v>89.99</v>
      </c>
      <c r="J40" s="52" t="s">
        <v>34</v>
      </c>
      <c r="K40" s="52" t="s">
        <v>21</v>
      </c>
      <c r="L40" s="52" t="s">
        <v>27</v>
      </c>
      <c r="M40" s="53">
        <v>45120</v>
      </c>
      <c r="N40" s="54">
        <v>269.97000000000003</v>
      </c>
      <c r="O40" s="32" t="str">
        <f t="shared" si="0"/>
        <v>May</v>
      </c>
      <c r="P40" s="32">
        <f t="shared" si="1"/>
        <v>2024</v>
      </c>
      <c r="Q40" s="32">
        <f t="shared" ca="1" si="2"/>
        <v>1161</v>
      </c>
      <c r="R40" s="32">
        <f t="shared" si="3"/>
        <v>45443</v>
      </c>
      <c r="S40" s="55">
        <f t="shared" ca="1" si="4"/>
        <v>46281.656764814812</v>
      </c>
      <c r="T40" s="32" t="str">
        <f t="shared" si="5"/>
        <v>Low Sale</v>
      </c>
      <c r="U40" s="73">
        <f t="shared" si="8"/>
        <v>5019.91</v>
      </c>
      <c r="V40" s="75"/>
      <c r="W40" s="3">
        <f t="shared" si="9"/>
        <v>3</v>
      </c>
      <c r="AC40" s="80" t="str">
        <v>Frank Torres</v>
      </c>
      <c r="AD40" s="80">
        <v>2339.8200000000002</v>
      </c>
    </row>
    <row r="41" spans="1:30" ht="14.4">
      <c r="A41" s="52" t="s">
        <v>146</v>
      </c>
      <c r="B41" s="53">
        <v>45443</v>
      </c>
      <c r="C41" s="52" t="s">
        <v>147</v>
      </c>
      <c r="D41" s="52" t="s">
        <v>148</v>
      </c>
      <c r="E41" s="52" t="s">
        <v>114</v>
      </c>
      <c r="F41" s="52" t="s">
        <v>115</v>
      </c>
      <c r="G41" s="52" t="s">
        <v>33</v>
      </c>
      <c r="H41" s="52">
        <v>1</v>
      </c>
      <c r="I41" s="52">
        <v>79.989999999999995</v>
      </c>
      <c r="J41" s="52" t="s">
        <v>20</v>
      </c>
      <c r="K41" s="52" t="s">
        <v>40</v>
      </c>
      <c r="L41" s="52" t="s">
        <v>36</v>
      </c>
      <c r="M41" s="53">
        <v>44917</v>
      </c>
      <c r="N41" s="54">
        <v>79.989999999999995</v>
      </c>
      <c r="O41" s="32" t="str">
        <f t="shared" si="0"/>
        <v>May</v>
      </c>
      <c r="P41" s="32">
        <f t="shared" si="1"/>
        <v>2024</v>
      </c>
      <c r="Q41" s="32">
        <f t="shared" ca="1" si="2"/>
        <v>1364</v>
      </c>
      <c r="R41" s="32">
        <f t="shared" si="3"/>
        <v>45443</v>
      </c>
      <c r="S41" s="55">
        <f t="shared" ca="1" si="4"/>
        <v>46281.656764814812</v>
      </c>
      <c r="T41" s="32" t="str">
        <f t="shared" si="5"/>
        <v>Low Sale</v>
      </c>
      <c r="U41" s="73">
        <f t="shared" si="8"/>
        <v>4759.9199999999992</v>
      </c>
      <c r="V41" s="75"/>
      <c r="W41" s="3">
        <f t="shared" si="9"/>
        <v>3</v>
      </c>
      <c r="AC41" s="80" t="str">
        <v>Douglas Watson</v>
      </c>
      <c r="AD41" s="80">
        <v>19319.559999999998</v>
      </c>
    </row>
    <row r="42" spans="1:30" ht="14.4">
      <c r="A42" s="52" t="s">
        <v>149</v>
      </c>
      <c r="B42" s="53">
        <v>45444</v>
      </c>
      <c r="C42" s="52" t="s">
        <v>150</v>
      </c>
      <c r="D42" s="52" t="s">
        <v>151</v>
      </c>
      <c r="E42" s="52" t="s">
        <v>31</v>
      </c>
      <c r="F42" s="52" t="s">
        <v>32</v>
      </c>
      <c r="G42" s="52" t="s">
        <v>33</v>
      </c>
      <c r="H42" s="52">
        <v>2</v>
      </c>
      <c r="I42" s="52">
        <v>59.99</v>
      </c>
      <c r="J42" s="52" t="s">
        <v>20</v>
      </c>
      <c r="K42" s="52" t="s">
        <v>50</v>
      </c>
      <c r="L42" s="52" t="s">
        <v>22</v>
      </c>
      <c r="M42" s="53">
        <v>45390</v>
      </c>
      <c r="N42" s="54">
        <v>119.98</v>
      </c>
      <c r="O42" s="32" t="str">
        <f t="shared" si="0"/>
        <v>Jun</v>
      </c>
      <c r="P42" s="32">
        <f t="shared" si="1"/>
        <v>2024</v>
      </c>
      <c r="Q42" s="32">
        <f t="shared" ca="1" si="2"/>
        <v>891</v>
      </c>
      <c r="R42" s="32">
        <f t="shared" si="3"/>
        <v>45473</v>
      </c>
      <c r="S42" s="55">
        <f t="shared" ca="1" si="4"/>
        <v>46281.656764814812</v>
      </c>
      <c r="T42" s="32" t="str">
        <f t="shared" si="5"/>
        <v>Low Sale</v>
      </c>
      <c r="U42" s="73">
        <f t="shared" si="8"/>
        <v>3819.89</v>
      </c>
      <c r="V42" s="75"/>
      <c r="W42" s="3">
        <f t="shared" si="9"/>
        <v>4</v>
      </c>
      <c r="AC42" s="80" t="str">
        <v>William White</v>
      </c>
      <c r="AD42" s="80">
        <v>9199.84</v>
      </c>
    </row>
    <row r="43" spans="1:30" ht="14.4">
      <c r="A43" s="52" t="s">
        <v>152</v>
      </c>
      <c r="B43" s="53">
        <v>45444</v>
      </c>
      <c r="C43" s="52" t="s">
        <v>55</v>
      </c>
      <c r="D43" s="52" t="s">
        <v>56</v>
      </c>
      <c r="E43" s="52" t="s">
        <v>117</v>
      </c>
      <c r="F43" s="52" t="s">
        <v>118</v>
      </c>
      <c r="G43" s="52" t="s">
        <v>19</v>
      </c>
      <c r="H43" s="52">
        <v>1</v>
      </c>
      <c r="I43" s="52">
        <v>89.99</v>
      </c>
      <c r="J43" s="52" t="s">
        <v>20</v>
      </c>
      <c r="K43" s="52" t="s">
        <v>40</v>
      </c>
      <c r="L43" s="52" t="s">
        <v>22</v>
      </c>
      <c r="M43" s="53">
        <v>45141</v>
      </c>
      <c r="N43" s="54">
        <v>89.99</v>
      </c>
      <c r="O43" s="32" t="str">
        <f t="shared" si="0"/>
        <v>Jun</v>
      </c>
      <c r="P43" s="32">
        <f t="shared" si="1"/>
        <v>2024</v>
      </c>
      <c r="Q43" s="32">
        <f t="shared" ca="1" si="2"/>
        <v>1140</v>
      </c>
      <c r="R43" s="32">
        <f t="shared" si="3"/>
        <v>45473</v>
      </c>
      <c r="S43" s="55">
        <f t="shared" ca="1" si="4"/>
        <v>46281.656764814812</v>
      </c>
      <c r="T43" s="32" t="str">
        <f t="shared" si="5"/>
        <v>Low Sale</v>
      </c>
      <c r="U43" s="73">
        <f t="shared" si="8"/>
        <v>4919.7500000000009</v>
      </c>
      <c r="V43" s="75"/>
      <c r="W43" s="3">
        <f t="shared" si="9"/>
        <v>7</v>
      </c>
      <c r="AC43" s="80" t="str">
        <v>James Johnson</v>
      </c>
      <c r="AD43" s="80">
        <v>179.97</v>
      </c>
    </row>
    <row r="44" spans="1:30" ht="14.4">
      <c r="A44" s="52" t="s">
        <v>153</v>
      </c>
      <c r="B44" s="53">
        <v>45446</v>
      </c>
      <c r="C44" s="52" t="s">
        <v>154</v>
      </c>
      <c r="D44" s="52" t="s">
        <v>155</v>
      </c>
      <c r="E44" s="52" t="s">
        <v>117</v>
      </c>
      <c r="F44" s="52" t="s">
        <v>118</v>
      </c>
      <c r="G44" s="52" t="s">
        <v>19</v>
      </c>
      <c r="H44" s="52">
        <v>5</v>
      </c>
      <c r="I44" s="52">
        <v>89.99</v>
      </c>
      <c r="J44" s="52" t="s">
        <v>26</v>
      </c>
      <c r="K44" s="52" t="s">
        <v>63</v>
      </c>
      <c r="L44" s="52" t="s">
        <v>36</v>
      </c>
      <c r="M44" s="53">
        <v>44587</v>
      </c>
      <c r="N44" s="54">
        <v>449.95</v>
      </c>
      <c r="O44" s="32" t="str">
        <f t="shared" si="0"/>
        <v>Jun</v>
      </c>
      <c r="P44" s="32">
        <f t="shared" si="1"/>
        <v>2024</v>
      </c>
      <c r="Q44" s="32">
        <f t="shared" ca="1" si="2"/>
        <v>1694</v>
      </c>
      <c r="R44" s="32">
        <f t="shared" si="3"/>
        <v>45473</v>
      </c>
      <c r="S44" s="55">
        <f t="shared" ca="1" si="4"/>
        <v>46281.656764814812</v>
      </c>
      <c r="T44" s="32" t="str">
        <f t="shared" si="5"/>
        <v>Low Sale</v>
      </c>
      <c r="U44" s="73">
        <f t="shared" si="8"/>
        <v>4699.8500000000004</v>
      </c>
      <c r="V44" s="75"/>
      <c r="W44" s="3">
        <f t="shared" si="9"/>
        <v>4</v>
      </c>
      <c r="AC44" s="80" t="str">
        <v>David Martinez</v>
      </c>
      <c r="AD44" s="80">
        <v>2069.8500000000004</v>
      </c>
    </row>
    <row r="45" spans="1:30" ht="14.4">
      <c r="A45" s="52" t="s">
        <v>156</v>
      </c>
      <c r="B45" s="53">
        <v>45449</v>
      </c>
      <c r="C45" s="52" t="s">
        <v>24</v>
      </c>
      <c r="D45" s="52" t="s">
        <v>25</v>
      </c>
      <c r="E45" s="52" t="s">
        <v>17</v>
      </c>
      <c r="F45" s="52" t="s">
        <v>18</v>
      </c>
      <c r="G45" s="52" t="s">
        <v>19</v>
      </c>
      <c r="H45" s="52">
        <v>5</v>
      </c>
      <c r="I45" s="52">
        <v>249.99</v>
      </c>
      <c r="J45" s="52" t="s">
        <v>26</v>
      </c>
      <c r="K45" s="52" t="s">
        <v>63</v>
      </c>
      <c r="L45" s="52" t="s">
        <v>36</v>
      </c>
      <c r="M45" s="53">
        <v>44707</v>
      </c>
      <c r="N45" s="54">
        <v>1249.95</v>
      </c>
      <c r="O45" s="32" t="str">
        <f t="shared" si="0"/>
        <v>Jun</v>
      </c>
      <c r="P45" s="32">
        <f t="shared" si="1"/>
        <v>2024</v>
      </c>
      <c r="Q45" s="32">
        <f t="shared" ca="1" si="2"/>
        <v>1574</v>
      </c>
      <c r="R45" s="32">
        <f t="shared" si="3"/>
        <v>45473</v>
      </c>
      <c r="S45" s="55">
        <f t="shared" ca="1" si="4"/>
        <v>46281.656764814812</v>
      </c>
      <c r="T45" s="32" t="str">
        <f t="shared" si="5"/>
        <v>High Sale</v>
      </c>
      <c r="U45" s="73">
        <f t="shared" si="8"/>
        <v>2299.9</v>
      </c>
      <c r="V45" s="75"/>
      <c r="W45" s="3">
        <f t="shared" si="9"/>
        <v>3</v>
      </c>
      <c r="AC45" s="80" t="str">
        <v>Arthur Edwards</v>
      </c>
      <c r="AD45" s="80">
        <v>4679.82</v>
      </c>
    </row>
    <row r="46" spans="1:30" ht="14.4">
      <c r="A46" s="52" t="s">
        <v>157</v>
      </c>
      <c r="B46" s="53">
        <v>45449</v>
      </c>
      <c r="C46" s="52" t="s">
        <v>158</v>
      </c>
      <c r="D46" s="52" t="s">
        <v>159</v>
      </c>
      <c r="E46" s="52" t="s">
        <v>117</v>
      </c>
      <c r="F46" s="52" t="s">
        <v>118</v>
      </c>
      <c r="G46" s="52" t="s">
        <v>19</v>
      </c>
      <c r="H46" s="52">
        <v>1</v>
      </c>
      <c r="I46" s="52">
        <v>89.99</v>
      </c>
      <c r="J46" s="52" t="s">
        <v>26</v>
      </c>
      <c r="K46" s="52" t="s">
        <v>35</v>
      </c>
      <c r="L46" s="52" t="s">
        <v>36</v>
      </c>
      <c r="M46" s="53">
        <v>44582</v>
      </c>
      <c r="N46" s="54">
        <v>89.99</v>
      </c>
      <c r="O46" s="32" t="str">
        <f t="shared" si="0"/>
        <v>Jun</v>
      </c>
      <c r="P46" s="32">
        <f t="shared" si="1"/>
        <v>2024</v>
      </c>
      <c r="Q46" s="32">
        <f t="shared" ca="1" si="2"/>
        <v>1699</v>
      </c>
      <c r="R46" s="32">
        <f t="shared" si="3"/>
        <v>45473</v>
      </c>
      <c r="S46" s="55">
        <f t="shared" ca="1" si="4"/>
        <v>46281.656764814812</v>
      </c>
      <c r="T46" s="32" t="str">
        <f t="shared" si="5"/>
        <v>Low Sale</v>
      </c>
      <c r="U46" s="73">
        <f t="shared" si="8"/>
        <v>4589.8999999999996</v>
      </c>
      <c r="V46" s="75"/>
      <c r="W46" s="3">
        <f t="shared" si="9"/>
        <v>3</v>
      </c>
      <c r="AC46" s="80" t="str">
        <v>Elizabeth Hall</v>
      </c>
      <c r="AD46" s="80">
        <v>3899.8</v>
      </c>
    </row>
    <row r="47" spans="1:30" ht="14.4">
      <c r="A47" s="52" t="s">
        <v>160</v>
      </c>
      <c r="B47" s="53">
        <v>45450</v>
      </c>
      <c r="C47" s="52" t="s">
        <v>42</v>
      </c>
      <c r="D47" s="52" t="s">
        <v>43</v>
      </c>
      <c r="E47" s="52" t="s">
        <v>44</v>
      </c>
      <c r="F47" s="52" t="s">
        <v>45</v>
      </c>
      <c r="G47" s="52" t="s">
        <v>46</v>
      </c>
      <c r="H47" s="52">
        <v>2</v>
      </c>
      <c r="I47" s="52">
        <v>149.99</v>
      </c>
      <c r="J47" s="52" t="s">
        <v>20</v>
      </c>
      <c r="K47" s="52" t="s">
        <v>63</v>
      </c>
      <c r="L47" s="52" t="s">
        <v>27</v>
      </c>
      <c r="M47" s="53">
        <v>44645</v>
      </c>
      <c r="N47" s="54">
        <v>299.98</v>
      </c>
      <c r="O47" s="32" t="str">
        <f t="shared" si="0"/>
        <v>Jun</v>
      </c>
      <c r="P47" s="32">
        <f t="shared" si="1"/>
        <v>2024</v>
      </c>
      <c r="Q47" s="32">
        <f t="shared" ca="1" si="2"/>
        <v>1636</v>
      </c>
      <c r="R47" s="32">
        <f t="shared" si="3"/>
        <v>45473</v>
      </c>
      <c r="S47" s="55">
        <f t="shared" ca="1" si="4"/>
        <v>46281.656764814812</v>
      </c>
      <c r="T47" s="32" t="str">
        <f t="shared" si="5"/>
        <v>Low Sale</v>
      </c>
      <c r="U47" s="73">
        <f t="shared" si="8"/>
        <v>3569.8</v>
      </c>
      <c r="V47" s="75"/>
      <c r="W47" s="3">
        <f t="shared" si="9"/>
        <v>7</v>
      </c>
      <c r="AC47" s="80" t="str">
        <v>Ruth Brooks</v>
      </c>
      <c r="AD47" s="80">
        <v>2299.92</v>
      </c>
    </row>
    <row r="48" spans="1:30" ht="14.4">
      <c r="A48" s="52" t="s">
        <v>161</v>
      </c>
      <c r="B48" s="53">
        <v>45452</v>
      </c>
      <c r="C48" s="52" t="s">
        <v>162</v>
      </c>
      <c r="D48" s="52" t="s">
        <v>163</v>
      </c>
      <c r="E48" s="52" t="s">
        <v>31</v>
      </c>
      <c r="F48" s="52" t="s">
        <v>32</v>
      </c>
      <c r="G48" s="52" t="s">
        <v>33</v>
      </c>
      <c r="H48" s="52">
        <v>4</v>
      </c>
      <c r="I48" s="52">
        <v>59.99</v>
      </c>
      <c r="J48" s="52" t="s">
        <v>20</v>
      </c>
      <c r="K48" s="52" t="s">
        <v>63</v>
      </c>
      <c r="L48" s="52" t="s">
        <v>36</v>
      </c>
      <c r="M48" s="53">
        <v>44435</v>
      </c>
      <c r="N48" s="54">
        <v>239.96</v>
      </c>
      <c r="O48" s="32" t="str">
        <f t="shared" si="0"/>
        <v>Jun</v>
      </c>
      <c r="P48" s="32">
        <f t="shared" si="1"/>
        <v>2024</v>
      </c>
      <c r="Q48" s="32">
        <f t="shared" ca="1" si="2"/>
        <v>1846</v>
      </c>
      <c r="R48" s="32">
        <f t="shared" si="3"/>
        <v>45473</v>
      </c>
      <c r="S48" s="55">
        <f t="shared" ca="1" si="4"/>
        <v>46281.656764814812</v>
      </c>
      <c r="T48" s="32" t="str">
        <f t="shared" si="5"/>
        <v>Low Sale</v>
      </c>
      <c r="U48" s="73">
        <f t="shared" si="8"/>
        <v>239.96</v>
      </c>
      <c r="V48" s="75"/>
      <c r="W48" s="3">
        <f t="shared" si="9"/>
        <v>1</v>
      </c>
      <c r="AC48" s="80" t="str">
        <v>Richard Lee</v>
      </c>
      <c r="AD48" s="80">
        <v>1079.8800000000001</v>
      </c>
    </row>
    <row r="49" spans="1:37" ht="14.4">
      <c r="A49" s="52" t="s">
        <v>164</v>
      </c>
      <c r="B49" s="53">
        <v>45456</v>
      </c>
      <c r="C49" s="52" t="s">
        <v>129</v>
      </c>
      <c r="D49" s="52" t="s">
        <v>130</v>
      </c>
      <c r="E49" s="52" t="s">
        <v>117</v>
      </c>
      <c r="F49" s="52" t="s">
        <v>118</v>
      </c>
      <c r="G49" s="52" t="s">
        <v>19</v>
      </c>
      <c r="H49" s="52">
        <v>5</v>
      </c>
      <c r="I49" s="52">
        <v>89.99</v>
      </c>
      <c r="J49" s="52" t="s">
        <v>20</v>
      </c>
      <c r="K49" s="52" t="s">
        <v>21</v>
      </c>
      <c r="L49" s="52" t="s">
        <v>27</v>
      </c>
      <c r="M49" s="53">
        <v>44579</v>
      </c>
      <c r="N49" s="54">
        <v>449.95</v>
      </c>
      <c r="O49" s="32" t="str">
        <f t="shared" si="0"/>
        <v>Jun</v>
      </c>
      <c r="P49" s="32">
        <f t="shared" si="1"/>
        <v>2024</v>
      </c>
      <c r="Q49" s="32">
        <f t="shared" ca="1" si="2"/>
        <v>1702</v>
      </c>
      <c r="R49" s="32">
        <f t="shared" si="3"/>
        <v>45473</v>
      </c>
      <c r="S49" s="55">
        <f t="shared" ca="1" si="4"/>
        <v>46281.656764814812</v>
      </c>
      <c r="T49" s="32" t="str">
        <f t="shared" si="5"/>
        <v>Low Sale</v>
      </c>
      <c r="U49" s="73">
        <f t="shared" si="8"/>
        <v>2039.8000000000002</v>
      </c>
      <c r="V49" s="75"/>
      <c r="W49" s="3">
        <f t="shared" si="9"/>
        <v>5</v>
      </c>
      <c r="AC49" s="80" t="str">
        <v>John Smith</v>
      </c>
      <c r="AD49" s="80">
        <v>599.96</v>
      </c>
    </row>
    <row r="50" spans="1:37" ht="14.4">
      <c r="A50" s="52" t="s">
        <v>165</v>
      </c>
      <c r="B50" s="53">
        <v>45459</v>
      </c>
      <c r="C50" s="52" t="s">
        <v>99</v>
      </c>
      <c r="D50" s="52" t="s">
        <v>100</v>
      </c>
      <c r="E50" s="52" t="s">
        <v>117</v>
      </c>
      <c r="F50" s="52" t="s">
        <v>118</v>
      </c>
      <c r="G50" s="52" t="s">
        <v>19</v>
      </c>
      <c r="H50" s="52">
        <v>2</v>
      </c>
      <c r="I50" s="52">
        <v>89.99</v>
      </c>
      <c r="J50" s="52" t="s">
        <v>26</v>
      </c>
      <c r="K50" s="52" t="s">
        <v>35</v>
      </c>
      <c r="L50" s="52" t="s">
        <v>27</v>
      </c>
      <c r="M50" s="53">
        <v>44471</v>
      </c>
      <c r="N50" s="54">
        <v>179.98</v>
      </c>
      <c r="O50" s="32" t="str">
        <f t="shared" si="0"/>
        <v>Jun</v>
      </c>
      <c r="P50" s="32">
        <f t="shared" si="1"/>
        <v>2024</v>
      </c>
      <c r="Q50" s="32">
        <f t="shared" ca="1" si="2"/>
        <v>1810</v>
      </c>
      <c r="R50" s="32">
        <f t="shared" si="3"/>
        <v>45473</v>
      </c>
      <c r="S50" s="55">
        <f t="shared" ca="1" si="4"/>
        <v>46281.656764814812</v>
      </c>
      <c r="T50" s="32" t="str">
        <f t="shared" si="5"/>
        <v>Low Sale</v>
      </c>
      <c r="U50" s="73">
        <f t="shared" si="8"/>
        <v>5599.79</v>
      </c>
      <c r="V50" s="75"/>
      <c r="W50" s="3">
        <f t="shared" si="9"/>
        <v>6</v>
      </c>
    </row>
    <row r="51" spans="1:37" ht="14.4">
      <c r="A51" s="52" t="s">
        <v>166</v>
      </c>
      <c r="B51" s="53">
        <v>45459</v>
      </c>
      <c r="C51" s="52" t="s">
        <v>15</v>
      </c>
      <c r="D51" s="52" t="s">
        <v>16</v>
      </c>
      <c r="E51" s="52" t="s">
        <v>61</v>
      </c>
      <c r="F51" s="52" t="s">
        <v>62</v>
      </c>
      <c r="G51" s="52" t="s">
        <v>19</v>
      </c>
      <c r="H51" s="52">
        <v>5</v>
      </c>
      <c r="I51" s="52">
        <v>899.99</v>
      </c>
      <c r="J51" s="52" t="s">
        <v>26</v>
      </c>
      <c r="K51" s="52" t="s">
        <v>35</v>
      </c>
      <c r="L51" s="52" t="s">
        <v>36</v>
      </c>
      <c r="M51" s="53">
        <v>44974</v>
      </c>
      <c r="N51" s="54">
        <v>4499.95</v>
      </c>
      <c r="O51" s="32" t="str">
        <f t="shared" si="0"/>
        <v>Jun</v>
      </c>
      <c r="P51" s="32">
        <f t="shared" si="1"/>
        <v>2024</v>
      </c>
      <c r="Q51" s="32">
        <f t="shared" ca="1" si="2"/>
        <v>1307</v>
      </c>
      <c r="R51" s="32">
        <f t="shared" si="3"/>
        <v>45473</v>
      </c>
      <c r="S51" s="55">
        <f t="shared" ca="1" si="4"/>
        <v>46281.656764814812</v>
      </c>
      <c r="T51" s="32" t="str">
        <f t="shared" si="5"/>
        <v>High Sale</v>
      </c>
      <c r="U51" s="73">
        <f t="shared" si="8"/>
        <v>8059.7499999999991</v>
      </c>
      <c r="V51" s="75"/>
      <c r="W51" s="3">
        <f t="shared" si="9"/>
        <v>7</v>
      </c>
    </row>
    <row r="52" spans="1:37" ht="14.4">
      <c r="A52" s="52" t="s">
        <v>271</v>
      </c>
      <c r="B52" s="53">
        <v>45583</v>
      </c>
      <c r="C52" s="52" t="s">
        <v>226</v>
      </c>
      <c r="D52" s="52" t="s">
        <v>227</v>
      </c>
      <c r="E52" s="52" t="s">
        <v>52</v>
      </c>
      <c r="F52" s="52" t="s">
        <v>53</v>
      </c>
      <c r="G52" s="52" t="s">
        <v>19</v>
      </c>
      <c r="H52" s="52">
        <v>2</v>
      </c>
      <c r="I52" s="52">
        <v>149.99</v>
      </c>
      <c r="J52" s="52" t="s">
        <v>26</v>
      </c>
      <c r="K52" s="52" t="s">
        <v>50</v>
      </c>
      <c r="L52" s="52" t="s">
        <v>22</v>
      </c>
      <c r="M52" s="53">
        <v>44916</v>
      </c>
      <c r="N52" s="54">
        <v>299.98</v>
      </c>
      <c r="O52" s="32" t="str">
        <f t="shared" ref="O52:O113" si="10">TEXT(B52,"mmm")</f>
        <v>Oct</v>
      </c>
      <c r="P52" s="32">
        <f t="shared" ref="P52:P113" si="11">YEAR(B52)</f>
        <v>2024</v>
      </c>
      <c r="Q52" s="32">
        <f t="shared" ref="Q52:Q113" ca="1" si="12">DATEDIF(M52,TODAY(),"D")</f>
        <v>1365</v>
      </c>
      <c r="R52" s="32">
        <f t="shared" ref="R52:R113" si="13">EOMONTH(B52,0)</f>
        <v>45596</v>
      </c>
      <c r="S52" s="55">
        <f t="shared" ref="S52:S113" ca="1" si="14">NOW()</f>
        <v>46281.656764814812</v>
      </c>
      <c r="T52" s="32" t="str">
        <f t="shared" ref="T52:T113" si="15">IF(N52&gt;1000,"High Sale","Low Sale")</f>
        <v>Low Sale</v>
      </c>
      <c r="U52" s="73">
        <f t="shared" si="8"/>
        <v>5349.82</v>
      </c>
      <c r="V52" s="75"/>
      <c r="W52" s="3">
        <f t="shared" si="9"/>
        <v>6</v>
      </c>
      <c r="AK52" s="5"/>
    </row>
    <row r="53" spans="1:37" ht="14.4">
      <c r="A53" s="52" t="s">
        <v>272</v>
      </c>
      <c r="B53" s="53">
        <v>45586</v>
      </c>
      <c r="C53" s="52" t="s">
        <v>226</v>
      </c>
      <c r="D53" s="52" t="s">
        <v>227</v>
      </c>
      <c r="E53" s="52" t="s">
        <v>117</v>
      </c>
      <c r="F53" s="52" t="s">
        <v>118</v>
      </c>
      <c r="G53" s="52" t="s">
        <v>19</v>
      </c>
      <c r="H53" s="52">
        <v>3</v>
      </c>
      <c r="I53" s="52">
        <v>89.99</v>
      </c>
      <c r="J53" s="52" t="s">
        <v>34</v>
      </c>
      <c r="K53" s="52" t="s">
        <v>21</v>
      </c>
      <c r="L53" s="52" t="s">
        <v>22</v>
      </c>
      <c r="M53" s="53">
        <v>44551</v>
      </c>
      <c r="N53" s="54">
        <v>269.97000000000003</v>
      </c>
      <c r="O53" s="32" t="str">
        <f t="shared" si="10"/>
        <v>Oct</v>
      </c>
      <c r="P53" s="32">
        <f t="shared" si="11"/>
        <v>2024</v>
      </c>
      <c r="Q53" s="32">
        <f t="shared" ca="1" si="12"/>
        <v>1730</v>
      </c>
      <c r="R53" s="32">
        <f t="shared" si="13"/>
        <v>45596</v>
      </c>
      <c r="S53" s="55">
        <f t="shared" ca="1" si="14"/>
        <v>46281.656764814812</v>
      </c>
      <c r="T53" s="32" t="str">
        <f t="shared" si="15"/>
        <v>Low Sale</v>
      </c>
      <c r="U53" s="73">
        <f t="shared" si="8"/>
        <v>5349.82</v>
      </c>
      <c r="V53" s="75"/>
      <c r="W53" s="3">
        <f t="shared" si="9"/>
        <v>6</v>
      </c>
      <c r="AK53" s="5"/>
    </row>
    <row r="54" spans="1:37" ht="14.4">
      <c r="A54" s="52" t="s">
        <v>273</v>
      </c>
      <c r="B54" s="53">
        <v>45588</v>
      </c>
      <c r="C54" s="52" t="s">
        <v>38</v>
      </c>
      <c r="D54" s="52" t="s">
        <v>39</v>
      </c>
      <c r="E54" s="52" t="s">
        <v>52</v>
      </c>
      <c r="F54" s="52" t="s">
        <v>53</v>
      </c>
      <c r="G54" s="52" t="s">
        <v>19</v>
      </c>
      <c r="H54" s="52">
        <v>2</v>
      </c>
      <c r="I54" s="52">
        <v>149.99</v>
      </c>
      <c r="J54" s="52" t="s">
        <v>34</v>
      </c>
      <c r="K54" s="52" t="s">
        <v>21</v>
      </c>
      <c r="L54" s="52" t="s">
        <v>22</v>
      </c>
      <c r="M54" s="53">
        <v>44473</v>
      </c>
      <c r="N54" s="54">
        <v>299.98</v>
      </c>
      <c r="O54" s="32" t="str">
        <f t="shared" si="10"/>
        <v>Oct</v>
      </c>
      <c r="P54" s="32">
        <f t="shared" si="11"/>
        <v>2024</v>
      </c>
      <c r="Q54" s="32">
        <f t="shared" ca="1" si="12"/>
        <v>1808</v>
      </c>
      <c r="R54" s="32">
        <f t="shared" si="13"/>
        <v>45596</v>
      </c>
      <c r="S54" s="55">
        <f t="shared" ca="1" si="14"/>
        <v>46281.656764814812</v>
      </c>
      <c r="T54" s="32" t="str">
        <f t="shared" si="15"/>
        <v>Low Sale</v>
      </c>
      <c r="U54" s="73">
        <f t="shared" si="8"/>
        <v>1229.9000000000001</v>
      </c>
      <c r="V54" s="75"/>
      <c r="W54" s="3">
        <f t="shared" si="9"/>
        <v>3</v>
      </c>
      <c r="AK54" s="5"/>
    </row>
    <row r="55" spans="1:37" ht="14.4">
      <c r="A55" s="52" t="s">
        <v>274</v>
      </c>
      <c r="B55" s="53">
        <v>45588</v>
      </c>
      <c r="C55" s="52" t="s">
        <v>154</v>
      </c>
      <c r="D55" s="52" t="s">
        <v>155</v>
      </c>
      <c r="E55" s="52" t="s">
        <v>80</v>
      </c>
      <c r="F55" s="52" t="s">
        <v>81</v>
      </c>
      <c r="G55" s="52" t="s">
        <v>19</v>
      </c>
      <c r="H55" s="52">
        <v>2</v>
      </c>
      <c r="I55" s="52">
        <v>699.99</v>
      </c>
      <c r="J55" s="52" t="s">
        <v>20</v>
      </c>
      <c r="K55" s="52" t="s">
        <v>21</v>
      </c>
      <c r="L55" s="52" t="s">
        <v>22</v>
      </c>
      <c r="M55" s="53">
        <v>44992</v>
      </c>
      <c r="N55" s="54">
        <v>1399.98</v>
      </c>
      <c r="O55" s="32" t="str">
        <f t="shared" si="10"/>
        <v>Oct</v>
      </c>
      <c r="P55" s="32">
        <f t="shared" si="11"/>
        <v>2024</v>
      </c>
      <c r="Q55" s="32">
        <f t="shared" ca="1" si="12"/>
        <v>1289</v>
      </c>
      <c r="R55" s="32">
        <f t="shared" si="13"/>
        <v>45596</v>
      </c>
      <c r="S55" s="55">
        <f t="shared" ca="1" si="14"/>
        <v>46281.656764814812</v>
      </c>
      <c r="T55" s="32" t="str">
        <f t="shared" si="15"/>
        <v>High Sale</v>
      </c>
      <c r="U55" s="73">
        <f t="shared" si="8"/>
        <v>4699.8500000000004</v>
      </c>
      <c r="V55" s="75"/>
      <c r="W55" s="3">
        <f t="shared" si="9"/>
        <v>4</v>
      </c>
      <c r="AK55" s="5"/>
    </row>
    <row r="56" spans="1:37" ht="14.4">
      <c r="A56" s="52" t="s">
        <v>275</v>
      </c>
      <c r="B56" s="53">
        <v>45589</v>
      </c>
      <c r="C56" s="52" t="s">
        <v>158</v>
      </c>
      <c r="D56" s="52" t="s">
        <v>159</v>
      </c>
      <c r="E56" s="52" t="s">
        <v>80</v>
      </c>
      <c r="F56" s="52" t="s">
        <v>81</v>
      </c>
      <c r="G56" s="52" t="s">
        <v>19</v>
      </c>
      <c r="H56" s="52">
        <v>5</v>
      </c>
      <c r="I56" s="52">
        <v>699.99</v>
      </c>
      <c r="J56" s="52" t="s">
        <v>20</v>
      </c>
      <c r="K56" s="52" t="s">
        <v>40</v>
      </c>
      <c r="L56" s="52" t="s">
        <v>27</v>
      </c>
      <c r="M56" s="53">
        <v>44635</v>
      </c>
      <c r="N56" s="54">
        <v>3499.95</v>
      </c>
      <c r="O56" s="32" t="str">
        <f t="shared" si="10"/>
        <v>Oct</v>
      </c>
      <c r="P56" s="32">
        <f t="shared" si="11"/>
        <v>2024</v>
      </c>
      <c r="Q56" s="32">
        <f t="shared" ca="1" si="12"/>
        <v>1646</v>
      </c>
      <c r="R56" s="32">
        <f t="shared" si="13"/>
        <v>45596</v>
      </c>
      <c r="S56" s="55">
        <f t="shared" ca="1" si="14"/>
        <v>46281.656764814812</v>
      </c>
      <c r="T56" s="32" t="str">
        <f t="shared" si="15"/>
        <v>High Sale</v>
      </c>
      <c r="U56" s="73">
        <f t="shared" si="8"/>
        <v>4589.8999999999996</v>
      </c>
      <c r="V56" s="75"/>
      <c r="W56" s="3">
        <f t="shared" si="9"/>
        <v>3</v>
      </c>
      <c r="AK56" s="5"/>
    </row>
    <row r="57" spans="1:37" ht="14.4">
      <c r="A57" s="52" t="s">
        <v>276</v>
      </c>
      <c r="B57" s="53">
        <v>45592</v>
      </c>
      <c r="C57" s="52" t="s">
        <v>171</v>
      </c>
      <c r="D57" s="52" t="s">
        <v>172</v>
      </c>
      <c r="E57" s="52" t="s">
        <v>117</v>
      </c>
      <c r="F57" s="52" t="s">
        <v>118</v>
      </c>
      <c r="G57" s="52" t="s">
        <v>19</v>
      </c>
      <c r="H57" s="52">
        <v>3</v>
      </c>
      <c r="I57" s="52">
        <v>89.99</v>
      </c>
      <c r="J57" s="52" t="s">
        <v>26</v>
      </c>
      <c r="K57" s="52" t="s">
        <v>40</v>
      </c>
      <c r="L57" s="52" t="s">
        <v>36</v>
      </c>
      <c r="M57" s="53">
        <v>44615</v>
      </c>
      <c r="N57" s="54">
        <v>269.97000000000003</v>
      </c>
      <c r="O57" s="32" t="str">
        <f t="shared" si="10"/>
        <v>Oct</v>
      </c>
      <c r="P57" s="32">
        <f t="shared" si="11"/>
        <v>2024</v>
      </c>
      <c r="Q57" s="32">
        <f t="shared" ca="1" si="12"/>
        <v>1666</v>
      </c>
      <c r="R57" s="32">
        <f t="shared" si="13"/>
        <v>45596</v>
      </c>
      <c r="S57" s="55">
        <f t="shared" ca="1" si="14"/>
        <v>46281.656764814812</v>
      </c>
      <c r="T57" s="32" t="str">
        <f t="shared" si="15"/>
        <v>Low Sale</v>
      </c>
      <c r="U57" s="73">
        <f t="shared" si="8"/>
        <v>269.97000000000003</v>
      </c>
      <c r="V57" s="75"/>
      <c r="W57" s="3">
        <f t="shared" si="9"/>
        <v>1</v>
      </c>
      <c r="AK57" s="5"/>
    </row>
    <row r="58" spans="1:37" ht="14.4">
      <c r="A58" s="52" t="s">
        <v>277</v>
      </c>
      <c r="B58" s="53">
        <v>45597</v>
      </c>
      <c r="C58" s="52" t="s">
        <v>15</v>
      </c>
      <c r="D58" s="52" t="s">
        <v>16</v>
      </c>
      <c r="E58" s="52" t="s">
        <v>17</v>
      </c>
      <c r="F58" s="52" t="s">
        <v>18</v>
      </c>
      <c r="G58" s="52" t="s">
        <v>19</v>
      </c>
      <c r="H58" s="52">
        <v>5</v>
      </c>
      <c r="I58" s="52">
        <v>249.99</v>
      </c>
      <c r="J58" s="52" t="s">
        <v>26</v>
      </c>
      <c r="K58" s="52" t="s">
        <v>35</v>
      </c>
      <c r="L58" s="52" t="s">
        <v>36</v>
      </c>
      <c r="M58" s="53">
        <v>44881</v>
      </c>
      <c r="N58" s="54">
        <v>1249.95</v>
      </c>
      <c r="O58" s="32" t="str">
        <f t="shared" si="10"/>
        <v>Nov</v>
      </c>
      <c r="P58" s="32">
        <f t="shared" si="11"/>
        <v>2024</v>
      </c>
      <c r="Q58" s="32">
        <f t="shared" ca="1" si="12"/>
        <v>1400</v>
      </c>
      <c r="R58" s="32">
        <f t="shared" si="13"/>
        <v>45626</v>
      </c>
      <c r="S58" s="55">
        <f t="shared" ca="1" si="14"/>
        <v>46281.656764814812</v>
      </c>
      <c r="T58" s="32" t="str">
        <f t="shared" si="15"/>
        <v>High Sale</v>
      </c>
      <c r="U58" s="73">
        <f t="shared" si="8"/>
        <v>8059.7499999999991</v>
      </c>
      <c r="V58" s="75"/>
      <c r="W58" s="3">
        <f t="shared" si="9"/>
        <v>7</v>
      </c>
      <c r="AK58" s="5"/>
    </row>
    <row r="59" spans="1:37" ht="14.4">
      <c r="A59" s="52" t="s">
        <v>278</v>
      </c>
      <c r="B59" s="53">
        <v>45600</v>
      </c>
      <c r="C59" s="52" t="s">
        <v>65</v>
      </c>
      <c r="D59" s="52" t="s">
        <v>66</v>
      </c>
      <c r="E59" s="52" t="s">
        <v>105</v>
      </c>
      <c r="F59" s="52" t="s">
        <v>106</v>
      </c>
      <c r="G59" s="52" t="s">
        <v>46</v>
      </c>
      <c r="H59" s="52">
        <v>3</v>
      </c>
      <c r="I59" s="52">
        <v>299.99</v>
      </c>
      <c r="J59" s="52" t="s">
        <v>26</v>
      </c>
      <c r="K59" s="52" t="s">
        <v>35</v>
      </c>
      <c r="L59" s="52" t="s">
        <v>36</v>
      </c>
      <c r="M59" s="53">
        <v>44502</v>
      </c>
      <c r="N59" s="54">
        <v>899.97</v>
      </c>
      <c r="O59" s="32" t="str">
        <f t="shared" si="10"/>
        <v>Nov</v>
      </c>
      <c r="P59" s="32">
        <f t="shared" si="11"/>
        <v>2024</v>
      </c>
      <c r="Q59" s="32">
        <f t="shared" ca="1" si="12"/>
        <v>1779</v>
      </c>
      <c r="R59" s="32">
        <f t="shared" si="13"/>
        <v>45626</v>
      </c>
      <c r="S59" s="55">
        <f t="shared" ca="1" si="14"/>
        <v>46281.656764814812</v>
      </c>
      <c r="T59" s="32" t="str">
        <f t="shared" si="15"/>
        <v>Low Sale</v>
      </c>
      <c r="U59" s="73">
        <f t="shared" si="8"/>
        <v>6159.8499999999995</v>
      </c>
      <c r="V59" s="75"/>
      <c r="W59" s="3">
        <f t="shared" si="9"/>
        <v>5</v>
      </c>
      <c r="AK59" s="5"/>
    </row>
    <row r="60" spans="1:37" ht="14.4">
      <c r="A60" s="52" t="s">
        <v>279</v>
      </c>
      <c r="B60" s="53">
        <v>45603</v>
      </c>
      <c r="C60" s="52" t="s">
        <v>99</v>
      </c>
      <c r="D60" s="52" t="s">
        <v>100</v>
      </c>
      <c r="E60" s="52" t="s">
        <v>117</v>
      </c>
      <c r="F60" s="52" t="s">
        <v>118</v>
      </c>
      <c r="G60" s="52" t="s">
        <v>19</v>
      </c>
      <c r="H60" s="52">
        <v>3</v>
      </c>
      <c r="I60" s="52">
        <v>89.99</v>
      </c>
      <c r="J60" s="52" t="s">
        <v>26</v>
      </c>
      <c r="K60" s="52" t="s">
        <v>40</v>
      </c>
      <c r="L60" s="52" t="s">
        <v>27</v>
      </c>
      <c r="M60" s="53">
        <v>44420</v>
      </c>
      <c r="N60" s="54">
        <v>269.97000000000003</v>
      </c>
      <c r="O60" s="32" t="str">
        <f t="shared" si="10"/>
        <v>Nov</v>
      </c>
      <c r="P60" s="32">
        <f t="shared" si="11"/>
        <v>2024</v>
      </c>
      <c r="Q60" s="32">
        <f t="shared" ca="1" si="12"/>
        <v>1861</v>
      </c>
      <c r="R60" s="32">
        <f t="shared" si="13"/>
        <v>45626</v>
      </c>
      <c r="S60" s="55">
        <f t="shared" ca="1" si="14"/>
        <v>46281.656764814812</v>
      </c>
      <c r="T60" s="32" t="str">
        <f t="shared" si="15"/>
        <v>Low Sale</v>
      </c>
      <c r="U60" s="73">
        <f t="shared" si="8"/>
        <v>5599.79</v>
      </c>
      <c r="V60" s="75"/>
      <c r="W60" s="3">
        <f t="shared" si="9"/>
        <v>6</v>
      </c>
      <c r="AK60" s="5"/>
    </row>
    <row r="61" spans="1:37" ht="14.4">
      <c r="A61" s="52" t="s">
        <v>280</v>
      </c>
      <c r="B61" s="53">
        <v>45604</v>
      </c>
      <c r="C61" s="52" t="s">
        <v>89</v>
      </c>
      <c r="D61" s="52" t="s">
        <v>90</v>
      </c>
      <c r="E61" s="52" t="s">
        <v>44</v>
      </c>
      <c r="F61" s="52" t="s">
        <v>45</v>
      </c>
      <c r="G61" s="52" t="s">
        <v>46</v>
      </c>
      <c r="H61" s="52">
        <v>2</v>
      </c>
      <c r="I61" s="52">
        <v>149.99</v>
      </c>
      <c r="J61" s="52" t="s">
        <v>26</v>
      </c>
      <c r="K61" s="52" t="s">
        <v>50</v>
      </c>
      <c r="L61" s="52" t="s">
        <v>27</v>
      </c>
      <c r="M61" s="53">
        <v>44848</v>
      </c>
      <c r="N61" s="54">
        <v>299.98</v>
      </c>
      <c r="O61" s="32" t="str">
        <f t="shared" si="10"/>
        <v>Nov</v>
      </c>
      <c r="P61" s="32">
        <f t="shared" si="11"/>
        <v>2024</v>
      </c>
      <c r="Q61" s="32">
        <f t="shared" ca="1" si="12"/>
        <v>1433</v>
      </c>
      <c r="R61" s="32">
        <f t="shared" si="13"/>
        <v>45626</v>
      </c>
      <c r="S61" s="55">
        <f t="shared" ca="1" si="14"/>
        <v>46281.656764814812</v>
      </c>
      <c r="T61" s="32" t="str">
        <f t="shared" si="15"/>
        <v>Low Sale</v>
      </c>
      <c r="U61" s="73">
        <f t="shared" si="8"/>
        <v>1699.96</v>
      </c>
      <c r="V61" s="75"/>
      <c r="W61" s="3">
        <f t="shared" si="9"/>
        <v>2</v>
      </c>
      <c r="AK61" s="5"/>
    </row>
    <row r="62" spans="1:37" ht="14.4">
      <c r="A62" s="52" t="s">
        <v>281</v>
      </c>
      <c r="B62" s="53">
        <v>45605</v>
      </c>
      <c r="C62" s="52" t="s">
        <v>185</v>
      </c>
      <c r="D62" s="52" t="s">
        <v>186</v>
      </c>
      <c r="E62" s="52" t="s">
        <v>17</v>
      </c>
      <c r="F62" s="52" t="s">
        <v>18</v>
      </c>
      <c r="G62" s="52" t="s">
        <v>19</v>
      </c>
      <c r="H62" s="52">
        <v>1</v>
      </c>
      <c r="I62" s="52">
        <v>249.99</v>
      </c>
      <c r="J62" s="52" t="s">
        <v>26</v>
      </c>
      <c r="K62" s="52" t="s">
        <v>40</v>
      </c>
      <c r="L62" s="52" t="s">
        <v>27</v>
      </c>
      <c r="M62" s="53">
        <v>44828</v>
      </c>
      <c r="N62" s="54">
        <v>249.99</v>
      </c>
      <c r="O62" s="32" t="str">
        <f t="shared" si="10"/>
        <v>Nov</v>
      </c>
      <c r="P62" s="32">
        <f t="shared" si="11"/>
        <v>2024</v>
      </c>
      <c r="Q62" s="32">
        <f t="shared" ca="1" si="12"/>
        <v>1453</v>
      </c>
      <c r="R62" s="32">
        <f t="shared" si="13"/>
        <v>45626</v>
      </c>
      <c r="S62" s="55">
        <f t="shared" ca="1" si="14"/>
        <v>46281.656764814812</v>
      </c>
      <c r="T62" s="32" t="str">
        <f t="shared" si="15"/>
        <v>Low Sale</v>
      </c>
      <c r="U62" s="73">
        <f t="shared" si="8"/>
        <v>699.94</v>
      </c>
      <c r="V62" s="75"/>
      <c r="W62" s="3">
        <f t="shared" si="9"/>
        <v>2</v>
      </c>
      <c r="AK62" s="5"/>
    </row>
    <row r="63" spans="1:37" ht="14.4">
      <c r="A63" s="52" t="s">
        <v>282</v>
      </c>
      <c r="B63" s="53">
        <v>45607</v>
      </c>
      <c r="C63" s="52" t="s">
        <v>72</v>
      </c>
      <c r="D63" s="52" t="s">
        <v>73</v>
      </c>
      <c r="E63" s="52" t="s">
        <v>52</v>
      </c>
      <c r="F63" s="52" t="s">
        <v>53</v>
      </c>
      <c r="G63" s="52" t="s">
        <v>19</v>
      </c>
      <c r="H63" s="52">
        <v>3</v>
      </c>
      <c r="I63" s="52">
        <v>149.99</v>
      </c>
      <c r="J63" s="52" t="s">
        <v>20</v>
      </c>
      <c r="K63" s="52" t="s">
        <v>40</v>
      </c>
      <c r="L63" s="52" t="s">
        <v>22</v>
      </c>
      <c r="M63" s="53">
        <v>44769</v>
      </c>
      <c r="N63" s="54">
        <v>449.97</v>
      </c>
      <c r="O63" s="32" t="str">
        <f t="shared" si="10"/>
        <v>Nov</v>
      </c>
      <c r="P63" s="32">
        <f t="shared" si="11"/>
        <v>2024</v>
      </c>
      <c r="Q63" s="32">
        <f t="shared" ca="1" si="12"/>
        <v>1512</v>
      </c>
      <c r="R63" s="32">
        <f t="shared" si="13"/>
        <v>45626</v>
      </c>
      <c r="S63" s="55">
        <f t="shared" ca="1" si="14"/>
        <v>46281.656764814812</v>
      </c>
      <c r="T63" s="32" t="str">
        <f t="shared" si="15"/>
        <v>Low Sale</v>
      </c>
      <c r="U63" s="73">
        <f t="shared" si="8"/>
        <v>2699.92</v>
      </c>
      <c r="V63" s="75"/>
      <c r="W63" s="3">
        <f t="shared" si="9"/>
        <v>3</v>
      </c>
      <c r="AK63" s="5"/>
    </row>
    <row r="64" spans="1:37" ht="14.4">
      <c r="A64" s="52" t="s">
        <v>283</v>
      </c>
      <c r="B64" s="53">
        <v>45607</v>
      </c>
      <c r="C64" s="52" t="s">
        <v>15</v>
      </c>
      <c r="D64" s="52" t="s">
        <v>16</v>
      </c>
      <c r="E64" s="52" t="s">
        <v>31</v>
      </c>
      <c r="F64" s="52" t="s">
        <v>32</v>
      </c>
      <c r="G64" s="52" t="s">
        <v>33</v>
      </c>
      <c r="H64" s="52">
        <v>5</v>
      </c>
      <c r="I64" s="52">
        <v>59.99</v>
      </c>
      <c r="J64" s="52" t="s">
        <v>34</v>
      </c>
      <c r="K64" s="52" t="s">
        <v>50</v>
      </c>
      <c r="L64" s="52" t="s">
        <v>27</v>
      </c>
      <c r="M64" s="53">
        <v>44694</v>
      </c>
      <c r="N64" s="54">
        <v>299.95</v>
      </c>
      <c r="O64" s="32" t="str">
        <f t="shared" si="10"/>
        <v>Nov</v>
      </c>
      <c r="P64" s="32">
        <f t="shared" si="11"/>
        <v>2024</v>
      </c>
      <c r="Q64" s="32">
        <f t="shared" ca="1" si="12"/>
        <v>1587</v>
      </c>
      <c r="R64" s="32">
        <f t="shared" si="13"/>
        <v>45626</v>
      </c>
      <c r="S64" s="55">
        <f t="shared" ca="1" si="14"/>
        <v>46281.656764814812</v>
      </c>
      <c r="T64" s="32" t="str">
        <f t="shared" si="15"/>
        <v>Low Sale</v>
      </c>
      <c r="U64" s="73">
        <f t="shared" si="8"/>
        <v>8059.7499999999991</v>
      </c>
      <c r="V64" s="75"/>
      <c r="W64" s="3">
        <f t="shared" si="9"/>
        <v>7</v>
      </c>
      <c r="AK64" s="5"/>
    </row>
    <row r="65" spans="1:37" ht="14.4">
      <c r="A65" s="52" t="s">
        <v>284</v>
      </c>
      <c r="B65" s="53">
        <v>45607</v>
      </c>
      <c r="C65" s="52" t="s">
        <v>99</v>
      </c>
      <c r="D65" s="52" t="s">
        <v>100</v>
      </c>
      <c r="E65" s="52" t="s">
        <v>17</v>
      </c>
      <c r="F65" s="52" t="s">
        <v>18</v>
      </c>
      <c r="G65" s="52" t="s">
        <v>19</v>
      </c>
      <c r="H65" s="52">
        <v>4</v>
      </c>
      <c r="I65" s="52">
        <v>249.99</v>
      </c>
      <c r="J65" s="52" t="s">
        <v>26</v>
      </c>
      <c r="K65" s="52" t="s">
        <v>50</v>
      </c>
      <c r="L65" s="52" t="s">
        <v>36</v>
      </c>
      <c r="M65" s="53">
        <v>44659</v>
      </c>
      <c r="N65" s="54">
        <v>999.96</v>
      </c>
      <c r="O65" s="32" t="str">
        <f t="shared" si="10"/>
        <v>Nov</v>
      </c>
      <c r="P65" s="32">
        <f t="shared" si="11"/>
        <v>2024</v>
      </c>
      <c r="Q65" s="32">
        <f t="shared" ca="1" si="12"/>
        <v>1622</v>
      </c>
      <c r="R65" s="32">
        <f t="shared" si="13"/>
        <v>45626</v>
      </c>
      <c r="S65" s="55">
        <f t="shared" ca="1" si="14"/>
        <v>46281.656764814812</v>
      </c>
      <c r="T65" s="32" t="str">
        <f t="shared" si="15"/>
        <v>Low Sale</v>
      </c>
      <c r="U65" s="73">
        <f t="shared" si="8"/>
        <v>5599.79</v>
      </c>
      <c r="V65" s="75"/>
      <c r="W65" s="3">
        <f t="shared" si="9"/>
        <v>6</v>
      </c>
      <c r="AK65" s="5"/>
    </row>
    <row r="66" spans="1:37" ht="14.4">
      <c r="A66" s="52" t="s">
        <v>285</v>
      </c>
      <c r="B66" s="53">
        <v>45608</v>
      </c>
      <c r="C66" s="52" t="s">
        <v>154</v>
      </c>
      <c r="D66" s="52" t="s">
        <v>155</v>
      </c>
      <c r="E66" s="52" t="s">
        <v>44</v>
      </c>
      <c r="F66" s="52" t="s">
        <v>45</v>
      </c>
      <c r="G66" s="52" t="s">
        <v>46</v>
      </c>
      <c r="H66" s="52">
        <v>5</v>
      </c>
      <c r="I66" s="52">
        <v>149.99</v>
      </c>
      <c r="J66" s="52" t="s">
        <v>34</v>
      </c>
      <c r="K66" s="52" t="s">
        <v>21</v>
      </c>
      <c r="L66" s="52" t="s">
        <v>22</v>
      </c>
      <c r="M66" s="53">
        <v>44901</v>
      </c>
      <c r="N66" s="54">
        <v>749.95</v>
      </c>
      <c r="O66" s="32" t="str">
        <f t="shared" si="10"/>
        <v>Nov</v>
      </c>
      <c r="P66" s="32">
        <f t="shared" si="11"/>
        <v>2024</v>
      </c>
      <c r="Q66" s="32">
        <f t="shared" ca="1" si="12"/>
        <v>1380</v>
      </c>
      <c r="R66" s="32">
        <f t="shared" si="13"/>
        <v>45626</v>
      </c>
      <c r="S66" s="55">
        <f t="shared" ca="1" si="14"/>
        <v>46281.656764814812</v>
      </c>
      <c r="T66" s="32" t="str">
        <f t="shared" si="15"/>
        <v>Low Sale</v>
      </c>
      <c r="U66" s="73">
        <f t="shared" ref="U66:U97" si="16">SUMIFS($N:$N, $D:$D, D66)</f>
        <v>4699.8500000000004</v>
      </c>
      <c r="V66" s="75"/>
      <c r="W66" s="3">
        <f t="shared" ref="W66:W97" si="17">COUNTIF($D$2:$D$171,D66)</f>
        <v>4</v>
      </c>
      <c r="AK66" s="5"/>
    </row>
    <row r="67" spans="1:37" ht="14.4">
      <c r="A67" s="52" t="s">
        <v>286</v>
      </c>
      <c r="B67" s="53">
        <v>45608</v>
      </c>
      <c r="C67" s="52" t="s">
        <v>83</v>
      </c>
      <c r="D67" s="52" t="s">
        <v>84</v>
      </c>
      <c r="E67" s="52" t="s">
        <v>31</v>
      </c>
      <c r="F67" s="52" t="s">
        <v>32</v>
      </c>
      <c r="G67" s="52" t="s">
        <v>33</v>
      </c>
      <c r="H67" s="52">
        <v>3</v>
      </c>
      <c r="I67" s="52">
        <v>59.99</v>
      </c>
      <c r="J67" s="52" t="s">
        <v>57</v>
      </c>
      <c r="K67" s="52" t="s">
        <v>35</v>
      </c>
      <c r="L67" s="52" t="s">
        <v>36</v>
      </c>
      <c r="M67" s="53">
        <v>45260</v>
      </c>
      <c r="N67" s="54">
        <v>179.97</v>
      </c>
      <c r="O67" s="32" t="str">
        <f t="shared" si="10"/>
        <v>Nov</v>
      </c>
      <c r="P67" s="32">
        <f t="shared" si="11"/>
        <v>2024</v>
      </c>
      <c r="Q67" s="32">
        <f t="shared" ca="1" si="12"/>
        <v>1021</v>
      </c>
      <c r="R67" s="32">
        <f t="shared" si="13"/>
        <v>45626</v>
      </c>
      <c r="S67" s="55">
        <f t="shared" ca="1" si="14"/>
        <v>46281.656764814812</v>
      </c>
      <c r="T67" s="32" t="str">
        <f t="shared" si="15"/>
        <v>Low Sale</v>
      </c>
      <c r="U67" s="73">
        <f t="shared" si="16"/>
        <v>1079.96</v>
      </c>
      <c r="V67" s="75"/>
      <c r="W67" s="3">
        <f t="shared" si="17"/>
        <v>2</v>
      </c>
      <c r="AK67" s="5"/>
    </row>
    <row r="68" spans="1:37" ht="14.4">
      <c r="A68" s="52" t="s">
        <v>287</v>
      </c>
      <c r="B68" s="53">
        <v>45613</v>
      </c>
      <c r="C68" s="52" t="s">
        <v>234</v>
      </c>
      <c r="D68" s="52" t="s">
        <v>235</v>
      </c>
      <c r="E68" s="52" t="s">
        <v>44</v>
      </c>
      <c r="F68" s="52" t="s">
        <v>45</v>
      </c>
      <c r="G68" s="52" t="s">
        <v>46</v>
      </c>
      <c r="H68" s="52">
        <v>5</v>
      </c>
      <c r="I68" s="52">
        <v>149.99</v>
      </c>
      <c r="J68" s="52" t="s">
        <v>20</v>
      </c>
      <c r="K68" s="52" t="s">
        <v>40</v>
      </c>
      <c r="L68" s="52" t="s">
        <v>22</v>
      </c>
      <c r="M68" s="53">
        <v>44869</v>
      </c>
      <c r="N68" s="54">
        <v>749.95</v>
      </c>
      <c r="O68" s="32" t="str">
        <f t="shared" si="10"/>
        <v>Nov</v>
      </c>
      <c r="P68" s="32">
        <f t="shared" si="11"/>
        <v>2024</v>
      </c>
      <c r="Q68" s="32">
        <f t="shared" ca="1" si="12"/>
        <v>1412</v>
      </c>
      <c r="R68" s="32">
        <f t="shared" si="13"/>
        <v>45626</v>
      </c>
      <c r="S68" s="55">
        <f t="shared" ca="1" si="14"/>
        <v>46281.656764814812</v>
      </c>
      <c r="T68" s="32" t="str">
        <f t="shared" si="15"/>
        <v>Low Sale</v>
      </c>
      <c r="U68" s="73">
        <f t="shared" si="16"/>
        <v>1649.92</v>
      </c>
      <c r="V68" s="75"/>
      <c r="W68" s="3">
        <f t="shared" si="17"/>
        <v>2</v>
      </c>
      <c r="AK68" s="5"/>
    </row>
    <row r="69" spans="1:37" ht="14.4">
      <c r="A69" s="52" t="s">
        <v>288</v>
      </c>
      <c r="B69" s="53">
        <v>45613</v>
      </c>
      <c r="C69" s="52" t="s">
        <v>86</v>
      </c>
      <c r="D69" s="52" t="s">
        <v>87</v>
      </c>
      <c r="E69" s="52" t="s">
        <v>80</v>
      </c>
      <c r="F69" s="52" t="s">
        <v>81</v>
      </c>
      <c r="G69" s="52" t="s">
        <v>19</v>
      </c>
      <c r="H69" s="52">
        <v>2</v>
      </c>
      <c r="I69" s="52">
        <v>699.99</v>
      </c>
      <c r="J69" s="52" t="s">
        <v>34</v>
      </c>
      <c r="K69" s="52" t="s">
        <v>50</v>
      </c>
      <c r="L69" s="52" t="s">
        <v>36</v>
      </c>
      <c r="M69" s="53">
        <v>44770</v>
      </c>
      <c r="N69" s="54">
        <v>1399.98</v>
      </c>
      <c r="O69" s="32" t="str">
        <f t="shared" si="10"/>
        <v>Nov</v>
      </c>
      <c r="P69" s="32">
        <f t="shared" si="11"/>
        <v>2024</v>
      </c>
      <c r="Q69" s="32">
        <f t="shared" ca="1" si="12"/>
        <v>1511</v>
      </c>
      <c r="R69" s="32">
        <f t="shared" si="13"/>
        <v>45626</v>
      </c>
      <c r="S69" s="55">
        <f t="shared" ca="1" si="14"/>
        <v>46281.656764814812</v>
      </c>
      <c r="T69" s="32" t="str">
        <f t="shared" si="15"/>
        <v>High Sale</v>
      </c>
      <c r="U69" s="73">
        <f t="shared" si="16"/>
        <v>12399.76</v>
      </c>
      <c r="V69" s="75"/>
      <c r="W69" s="3">
        <f t="shared" si="17"/>
        <v>8</v>
      </c>
      <c r="AK69" s="5"/>
    </row>
    <row r="70" spans="1:37" ht="14.4">
      <c r="A70" s="52" t="s">
        <v>289</v>
      </c>
      <c r="B70" s="53">
        <v>45617</v>
      </c>
      <c r="C70" s="52" t="s">
        <v>123</v>
      </c>
      <c r="D70" s="52" t="s">
        <v>124</v>
      </c>
      <c r="E70" s="52" t="s">
        <v>126</v>
      </c>
      <c r="F70" s="52" t="s">
        <v>127</v>
      </c>
      <c r="G70" s="52" t="s">
        <v>46</v>
      </c>
      <c r="H70" s="52">
        <v>4</v>
      </c>
      <c r="I70" s="52">
        <v>199.99</v>
      </c>
      <c r="J70" s="52" t="s">
        <v>57</v>
      </c>
      <c r="K70" s="52" t="s">
        <v>21</v>
      </c>
      <c r="L70" s="52" t="s">
        <v>27</v>
      </c>
      <c r="M70" s="53">
        <v>44427</v>
      </c>
      <c r="N70" s="54">
        <v>799.96</v>
      </c>
      <c r="O70" s="32" t="str">
        <f t="shared" si="10"/>
        <v>Nov</v>
      </c>
      <c r="P70" s="32">
        <f t="shared" si="11"/>
        <v>2024</v>
      </c>
      <c r="Q70" s="32">
        <f t="shared" ca="1" si="12"/>
        <v>1854</v>
      </c>
      <c r="R70" s="32">
        <f t="shared" si="13"/>
        <v>45626</v>
      </c>
      <c r="S70" s="55">
        <f t="shared" ca="1" si="14"/>
        <v>46281.656764814812</v>
      </c>
      <c r="T70" s="32" t="str">
        <f t="shared" si="15"/>
        <v>Low Sale</v>
      </c>
      <c r="U70" s="73">
        <f t="shared" si="16"/>
        <v>7419.82</v>
      </c>
      <c r="V70" s="75"/>
      <c r="W70" s="3">
        <f t="shared" si="17"/>
        <v>5</v>
      </c>
      <c r="AK70" s="5"/>
    </row>
    <row r="71" spans="1:37" ht="14.4">
      <c r="A71" s="52" t="s">
        <v>290</v>
      </c>
      <c r="B71" s="53">
        <v>45619</v>
      </c>
      <c r="C71" s="52" t="s">
        <v>192</v>
      </c>
      <c r="D71" s="52" t="s">
        <v>193</v>
      </c>
      <c r="E71" s="52" t="s">
        <v>31</v>
      </c>
      <c r="F71" s="52" t="s">
        <v>32</v>
      </c>
      <c r="G71" s="52" t="s">
        <v>33</v>
      </c>
      <c r="H71" s="52">
        <v>1</v>
      </c>
      <c r="I71" s="52">
        <v>59.99</v>
      </c>
      <c r="J71" s="52" t="s">
        <v>57</v>
      </c>
      <c r="K71" s="52" t="s">
        <v>50</v>
      </c>
      <c r="L71" s="52" t="s">
        <v>36</v>
      </c>
      <c r="M71" s="53">
        <v>44560</v>
      </c>
      <c r="N71" s="54">
        <v>59.99</v>
      </c>
      <c r="O71" s="32" t="str">
        <f t="shared" si="10"/>
        <v>Nov</v>
      </c>
      <c r="P71" s="32">
        <f t="shared" si="11"/>
        <v>2024</v>
      </c>
      <c r="Q71" s="32">
        <f t="shared" ca="1" si="12"/>
        <v>1721</v>
      </c>
      <c r="R71" s="32">
        <f t="shared" si="13"/>
        <v>45626</v>
      </c>
      <c r="S71" s="55">
        <f t="shared" ca="1" si="14"/>
        <v>46281.656764814812</v>
      </c>
      <c r="T71" s="32" t="str">
        <f t="shared" si="15"/>
        <v>Low Sale</v>
      </c>
      <c r="U71" s="73">
        <f t="shared" si="16"/>
        <v>779.94</v>
      </c>
      <c r="V71" s="75"/>
      <c r="W71" s="3">
        <f t="shared" si="17"/>
        <v>3</v>
      </c>
      <c r="AK71" s="5"/>
    </row>
    <row r="72" spans="1:37" ht="14.4">
      <c r="A72" s="52" t="s">
        <v>291</v>
      </c>
      <c r="B72" s="53">
        <v>45619</v>
      </c>
      <c r="C72" s="52" t="s">
        <v>154</v>
      </c>
      <c r="D72" s="52" t="s">
        <v>155</v>
      </c>
      <c r="E72" s="52" t="s">
        <v>80</v>
      </c>
      <c r="F72" s="52" t="s">
        <v>81</v>
      </c>
      <c r="G72" s="52" t="s">
        <v>19</v>
      </c>
      <c r="H72" s="52">
        <v>3</v>
      </c>
      <c r="I72" s="52">
        <v>699.99</v>
      </c>
      <c r="J72" s="52" t="s">
        <v>34</v>
      </c>
      <c r="K72" s="52" t="s">
        <v>50</v>
      </c>
      <c r="L72" s="52" t="s">
        <v>36</v>
      </c>
      <c r="M72" s="53">
        <v>44583</v>
      </c>
      <c r="N72" s="54">
        <v>2099.9699999999998</v>
      </c>
      <c r="O72" s="32" t="str">
        <f t="shared" si="10"/>
        <v>Nov</v>
      </c>
      <c r="P72" s="32">
        <f t="shared" si="11"/>
        <v>2024</v>
      </c>
      <c r="Q72" s="32">
        <f t="shared" ca="1" si="12"/>
        <v>1698</v>
      </c>
      <c r="R72" s="32">
        <f t="shared" si="13"/>
        <v>45626</v>
      </c>
      <c r="S72" s="55">
        <f t="shared" ca="1" si="14"/>
        <v>46281.656764814812</v>
      </c>
      <c r="T72" s="32" t="str">
        <f t="shared" si="15"/>
        <v>High Sale</v>
      </c>
      <c r="U72" s="73">
        <f t="shared" si="16"/>
        <v>4699.8500000000004</v>
      </c>
      <c r="V72" s="75"/>
      <c r="W72" s="3">
        <f t="shared" si="17"/>
        <v>4</v>
      </c>
      <c r="AK72" s="5"/>
    </row>
    <row r="73" spans="1:37" ht="14.4">
      <c r="A73" s="52" t="s">
        <v>292</v>
      </c>
      <c r="B73" s="53">
        <v>45622</v>
      </c>
      <c r="C73" s="52" t="s">
        <v>293</v>
      </c>
      <c r="D73" s="52" t="s">
        <v>294</v>
      </c>
      <c r="E73" s="52" t="s">
        <v>17</v>
      </c>
      <c r="F73" s="52" t="s">
        <v>18</v>
      </c>
      <c r="G73" s="52" t="s">
        <v>19</v>
      </c>
      <c r="H73" s="52">
        <v>5</v>
      </c>
      <c r="I73" s="52">
        <v>249.99</v>
      </c>
      <c r="J73" s="52" t="s">
        <v>26</v>
      </c>
      <c r="K73" s="52" t="s">
        <v>40</v>
      </c>
      <c r="L73" s="52" t="s">
        <v>22</v>
      </c>
      <c r="M73" s="53">
        <v>44873</v>
      </c>
      <c r="N73" s="54">
        <v>1249.95</v>
      </c>
      <c r="O73" s="32" t="str">
        <f t="shared" si="10"/>
        <v>Nov</v>
      </c>
      <c r="P73" s="32">
        <f t="shared" si="11"/>
        <v>2024</v>
      </c>
      <c r="Q73" s="32">
        <f t="shared" ca="1" si="12"/>
        <v>1408</v>
      </c>
      <c r="R73" s="32">
        <f t="shared" si="13"/>
        <v>45626</v>
      </c>
      <c r="S73" s="55">
        <f t="shared" ca="1" si="14"/>
        <v>46281.656764814812</v>
      </c>
      <c r="T73" s="32" t="str">
        <f t="shared" si="15"/>
        <v>High Sale</v>
      </c>
      <c r="U73" s="73">
        <f t="shared" si="16"/>
        <v>4829.8899999999994</v>
      </c>
      <c r="V73" s="75"/>
      <c r="W73" s="3">
        <f t="shared" si="17"/>
        <v>4</v>
      </c>
      <c r="AK73" s="5"/>
    </row>
    <row r="74" spans="1:37" ht="14.4">
      <c r="A74" s="52" t="s">
        <v>295</v>
      </c>
      <c r="B74" s="53">
        <v>45623</v>
      </c>
      <c r="C74" s="52" t="s">
        <v>112</v>
      </c>
      <c r="D74" s="52" t="s">
        <v>113</v>
      </c>
      <c r="E74" s="52" t="s">
        <v>44</v>
      </c>
      <c r="F74" s="52" t="s">
        <v>45</v>
      </c>
      <c r="G74" s="52" t="s">
        <v>46</v>
      </c>
      <c r="H74" s="52">
        <v>2</v>
      </c>
      <c r="I74" s="52">
        <v>149.99</v>
      </c>
      <c r="J74" s="52" t="s">
        <v>20</v>
      </c>
      <c r="K74" s="52" t="s">
        <v>35</v>
      </c>
      <c r="L74" s="52" t="s">
        <v>36</v>
      </c>
      <c r="M74" s="53">
        <v>45101</v>
      </c>
      <c r="N74" s="54">
        <v>299.98</v>
      </c>
      <c r="O74" s="32" t="str">
        <f t="shared" si="10"/>
        <v>Nov</v>
      </c>
      <c r="P74" s="32">
        <f t="shared" si="11"/>
        <v>2024</v>
      </c>
      <c r="Q74" s="32">
        <f t="shared" ca="1" si="12"/>
        <v>1180</v>
      </c>
      <c r="R74" s="32">
        <f t="shared" si="13"/>
        <v>45626</v>
      </c>
      <c r="S74" s="55">
        <f t="shared" ca="1" si="14"/>
        <v>46281.656764814812</v>
      </c>
      <c r="T74" s="32" t="str">
        <f t="shared" si="15"/>
        <v>Low Sale</v>
      </c>
      <c r="U74" s="73">
        <f t="shared" si="16"/>
        <v>839.93000000000006</v>
      </c>
      <c r="V74" s="75"/>
      <c r="W74" s="3">
        <f t="shared" si="17"/>
        <v>3</v>
      </c>
      <c r="AK74" s="5"/>
    </row>
    <row r="75" spans="1:37" ht="14.4">
      <c r="A75" s="52" t="s">
        <v>296</v>
      </c>
      <c r="B75" s="53">
        <v>45627</v>
      </c>
      <c r="C75" s="52" t="s">
        <v>29</v>
      </c>
      <c r="D75" s="52" t="s">
        <v>30</v>
      </c>
      <c r="E75" s="52" t="s">
        <v>105</v>
      </c>
      <c r="F75" s="52" t="s">
        <v>106</v>
      </c>
      <c r="G75" s="52" t="s">
        <v>46</v>
      </c>
      <c r="H75" s="52">
        <v>3</v>
      </c>
      <c r="I75" s="52">
        <v>299.99</v>
      </c>
      <c r="J75" s="52" t="s">
        <v>20</v>
      </c>
      <c r="K75" s="52" t="s">
        <v>35</v>
      </c>
      <c r="L75" s="52" t="s">
        <v>27</v>
      </c>
      <c r="M75" s="53">
        <v>44659</v>
      </c>
      <c r="N75" s="54">
        <v>899.97</v>
      </c>
      <c r="O75" s="32" t="str">
        <f t="shared" si="10"/>
        <v>Dec</v>
      </c>
      <c r="P75" s="32">
        <f t="shared" si="11"/>
        <v>2024</v>
      </c>
      <c r="Q75" s="32">
        <f t="shared" ca="1" si="12"/>
        <v>1622</v>
      </c>
      <c r="R75" s="32">
        <f t="shared" si="13"/>
        <v>45657</v>
      </c>
      <c r="S75" s="55">
        <f t="shared" ca="1" si="14"/>
        <v>46281.656764814812</v>
      </c>
      <c r="T75" s="32" t="str">
        <f t="shared" si="15"/>
        <v>Low Sale</v>
      </c>
      <c r="U75" s="73">
        <f t="shared" si="16"/>
        <v>3179.88</v>
      </c>
      <c r="V75" s="75"/>
      <c r="W75" s="3">
        <f t="shared" si="17"/>
        <v>5</v>
      </c>
      <c r="AK75" s="5"/>
    </row>
    <row r="76" spans="1:37" ht="14.4">
      <c r="A76" s="52" t="s">
        <v>297</v>
      </c>
      <c r="B76" s="53">
        <v>45627</v>
      </c>
      <c r="C76" s="52" t="s">
        <v>55</v>
      </c>
      <c r="D76" s="52" t="s">
        <v>56</v>
      </c>
      <c r="E76" s="52" t="s">
        <v>17</v>
      </c>
      <c r="F76" s="52" t="s">
        <v>18</v>
      </c>
      <c r="G76" s="52" t="s">
        <v>19</v>
      </c>
      <c r="H76" s="52">
        <v>5</v>
      </c>
      <c r="I76" s="52">
        <v>249.99</v>
      </c>
      <c r="J76" s="52" t="s">
        <v>20</v>
      </c>
      <c r="K76" s="52" t="s">
        <v>21</v>
      </c>
      <c r="L76" s="52" t="s">
        <v>27</v>
      </c>
      <c r="M76" s="53">
        <v>44485</v>
      </c>
      <c r="N76" s="54">
        <v>1249.95</v>
      </c>
      <c r="O76" s="32" t="str">
        <f t="shared" si="10"/>
        <v>Dec</v>
      </c>
      <c r="P76" s="32">
        <f t="shared" si="11"/>
        <v>2024</v>
      </c>
      <c r="Q76" s="32">
        <f t="shared" ca="1" si="12"/>
        <v>1796</v>
      </c>
      <c r="R76" s="32">
        <f t="shared" si="13"/>
        <v>45657</v>
      </c>
      <c r="S76" s="55">
        <f t="shared" ca="1" si="14"/>
        <v>46281.656764814812</v>
      </c>
      <c r="T76" s="32" t="str">
        <f t="shared" si="15"/>
        <v>High Sale</v>
      </c>
      <c r="U76" s="73">
        <f t="shared" si="16"/>
        <v>4919.7500000000009</v>
      </c>
      <c r="V76" s="75"/>
      <c r="W76" s="3">
        <f t="shared" si="17"/>
        <v>7</v>
      </c>
      <c r="AK76" s="5"/>
    </row>
    <row r="77" spans="1:37" ht="14.4">
      <c r="A77" s="52" t="s">
        <v>298</v>
      </c>
      <c r="B77" s="53">
        <v>45627</v>
      </c>
      <c r="C77" s="52" t="s">
        <v>24</v>
      </c>
      <c r="D77" s="52" t="s">
        <v>25</v>
      </c>
      <c r="E77" s="52" t="s">
        <v>52</v>
      </c>
      <c r="F77" s="52" t="s">
        <v>53</v>
      </c>
      <c r="G77" s="52" t="s">
        <v>19</v>
      </c>
      <c r="H77" s="52">
        <v>2</v>
      </c>
      <c r="I77" s="52">
        <v>149.99</v>
      </c>
      <c r="J77" s="52" t="s">
        <v>20</v>
      </c>
      <c r="K77" s="52" t="s">
        <v>35</v>
      </c>
      <c r="L77" s="52" t="s">
        <v>27</v>
      </c>
      <c r="M77" s="53">
        <v>44475</v>
      </c>
      <c r="N77" s="54">
        <v>299.98</v>
      </c>
      <c r="O77" s="32" t="str">
        <f t="shared" si="10"/>
        <v>Dec</v>
      </c>
      <c r="P77" s="32">
        <f t="shared" si="11"/>
        <v>2024</v>
      </c>
      <c r="Q77" s="32">
        <f t="shared" ca="1" si="12"/>
        <v>1806</v>
      </c>
      <c r="R77" s="32">
        <f t="shared" si="13"/>
        <v>45657</v>
      </c>
      <c r="S77" s="55">
        <f t="shared" ca="1" si="14"/>
        <v>46281.656764814812</v>
      </c>
      <c r="T77" s="32" t="str">
        <f t="shared" si="15"/>
        <v>Low Sale</v>
      </c>
      <c r="U77" s="73">
        <f t="shared" si="16"/>
        <v>2299.9</v>
      </c>
      <c r="V77" s="75"/>
      <c r="W77" s="3">
        <f t="shared" si="17"/>
        <v>3</v>
      </c>
      <c r="AK77" s="5"/>
    </row>
    <row r="78" spans="1:37" ht="14.4">
      <c r="A78" s="52" t="s">
        <v>299</v>
      </c>
      <c r="B78" s="53">
        <v>45627</v>
      </c>
      <c r="C78" s="52" t="s">
        <v>86</v>
      </c>
      <c r="D78" s="52" t="s">
        <v>87</v>
      </c>
      <c r="E78" s="52" t="s">
        <v>80</v>
      </c>
      <c r="F78" s="52" t="s">
        <v>81</v>
      </c>
      <c r="G78" s="52" t="s">
        <v>19</v>
      </c>
      <c r="H78" s="52">
        <v>5</v>
      </c>
      <c r="I78" s="52">
        <v>699.99</v>
      </c>
      <c r="J78" s="52" t="s">
        <v>57</v>
      </c>
      <c r="K78" s="52" t="s">
        <v>50</v>
      </c>
      <c r="L78" s="52" t="s">
        <v>36</v>
      </c>
      <c r="M78" s="53">
        <v>44944</v>
      </c>
      <c r="N78" s="54">
        <v>3499.95</v>
      </c>
      <c r="O78" s="32" t="str">
        <f t="shared" si="10"/>
        <v>Dec</v>
      </c>
      <c r="P78" s="32">
        <f t="shared" si="11"/>
        <v>2024</v>
      </c>
      <c r="Q78" s="32">
        <f t="shared" ca="1" si="12"/>
        <v>1337</v>
      </c>
      <c r="R78" s="32">
        <f t="shared" si="13"/>
        <v>45657</v>
      </c>
      <c r="S78" s="55">
        <f t="shared" ca="1" si="14"/>
        <v>46281.656764814812</v>
      </c>
      <c r="T78" s="32" t="str">
        <f t="shared" si="15"/>
        <v>High Sale</v>
      </c>
      <c r="U78" s="73">
        <f t="shared" si="16"/>
        <v>12399.76</v>
      </c>
      <c r="V78" s="75"/>
      <c r="W78" s="3">
        <f t="shared" si="17"/>
        <v>8</v>
      </c>
      <c r="AK78" s="5"/>
    </row>
    <row r="79" spans="1:37" ht="14.4">
      <c r="A79" s="52" t="s">
        <v>300</v>
      </c>
      <c r="B79" s="53">
        <v>45629</v>
      </c>
      <c r="C79" s="52" t="s">
        <v>252</v>
      </c>
      <c r="D79" s="52" t="s">
        <v>253</v>
      </c>
      <c r="E79" s="52" t="s">
        <v>17</v>
      </c>
      <c r="F79" s="52" t="s">
        <v>18</v>
      </c>
      <c r="G79" s="52" t="s">
        <v>19</v>
      </c>
      <c r="H79" s="52">
        <v>4</v>
      </c>
      <c r="I79" s="52">
        <v>249.99</v>
      </c>
      <c r="J79" s="52" t="s">
        <v>34</v>
      </c>
      <c r="K79" s="52" t="s">
        <v>63</v>
      </c>
      <c r="L79" s="52" t="s">
        <v>27</v>
      </c>
      <c r="M79" s="53">
        <v>45098</v>
      </c>
      <c r="N79" s="54">
        <v>999.96</v>
      </c>
      <c r="O79" s="32" t="str">
        <f t="shared" si="10"/>
        <v>Dec</v>
      </c>
      <c r="P79" s="32">
        <f t="shared" si="11"/>
        <v>2024</v>
      </c>
      <c r="Q79" s="32">
        <f t="shared" ca="1" si="12"/>
        <v>1183</v>
      </c>
      <c r="R79" s="32">
        <f t="shared" si="13"/>
        <v>45657</v>
      </c>
      <c r="S79" s="55">
        <f t="shared" ca="1" si="14"/>
        <v>46281.656764814812</v>
      </c>
      <c r="T79" s="32" t="str">
        <f t="shared" si="15"/>
        <v>Low Sale</v>
      </c>
      <c r="U79" s="73">
        <f t="shared" si="16"/>
        <v>4599.92</v>
      </c>
      <c r="V79" s="75"/>
      <c r="W79" s="3">
        <f t="shared" si="17"/>
        <v>2</v>
      </c>
      <c r="AK79" s="5"/>
    </row>
    <row r="80" spans="1:37" ht="14.4">
      <c r="A80" s="52" t="s">
        <v>301</v>
      </c>
      <c r="B80" s="53">
        <v>45630</v>
      </c>
      <c r="C80" s="52" t="s">
        <v>48</v>
      </c>
      <c r="D80" s="52" t="s">
        <v>49</v>
      </c>
      <c r="E80" s="52" t="s">
        <v>80</v>
      </c>
      <c r="F80" s="52" t="s">
        <v>81</v>
      </c>
      <c r="G80" s="52" t="s">
        <v>19</v>
      </c>
      <c r="H80" s="52">
        <v>4</v>
      </c>
      <c r="I80" s="52">
        <v>699.99</v>
      </c>
      <c r="J80" s="52" t="s">
        <v>26</v>
      </c>
      <c r="K80" s="52" t="s">
        <v>40</v>
      </c>
      <c r="L80" s="52" t="s">
        <v>27</v>
      </c>
      <c r="M80" s="53">
        <v>44703</v>
      </c>
      <c r="N80" s="54">
        <v>2799.96</v>
      </c>
      <c r="O80" s="32" t="str">
        <f t="shared" si="10"/>
        <v>Dec</v>
      </c>
      <c r="P80" s="32">
        <f t="shared" si="11"/>
        <v>2024</v>
      </c>
      <c r="Q80" s="32">
        <f t="shared" ca="1" si="12"/>
        <v>1578</v>
      </c>
      <c r="R80" s="32">
        <f t="shared" si="13"/>
        <v>45657</v>
      </c>
      <c r="S80" s="55">
        <f t="shared" ca="1" si="14"/>
        <v>46281.656764814812</v>
      </c>
      <c r="T80" s="32" t="str">
        <f t="shared" si="15"/>
        <v>High Sale</v>
      </c>
      <c r="U80" s="73">
        <f t="shared" si="16"/>
        <v>7369.82</v>
      </c>
      <c r="V80" s="75"/>
      <c r="W80" s="3">
        <f t="shared" si="17"/>
        <v>5</v>
      </c>
      <c r="AK80" s="5"/>
    </row>
    <row r="81" spans="1:37" ht="14.4">
      <c r="A81" s="52" t="s">
        <v>302</v>
      </c>
      <c r="B81" s="53">
        <v>45635</v>
      </c>
      <c r="C81" s="52" t="s">
        <v>108</v>
      </c>
      <c r="D81" s="52" t="s">
        <v>109</v>
      </c>
      <c r="E81" s="52" t="s">
        <v>17</v>
      </c>
      <c r="F81" s="52" t="s">
        <v>18</v>
      </c>
      <c r="G81" s="52" t="s">
        <v>19</v>
      </c>
      <c r="H81" s="52">
        <v>2</v>
      </c>
      <c r="I81" s="52">
        <v>249.99</v>
      </c>
      <c r="J81" s="52" t="s">
        <v>26</v>
      </c>
      <c r="K81" s="52" t="s">
        <v>21</v>
      </c>
      <c r="L81" s="52" t="s">
        <v>27</v>
      </c>
      <c r="M81" s="53">
        <v>44396</v>
      </c>
      <c r="N81" s="54">
        <v>499.98</v>
      </c>
      <c r="O81" s="32" t="str">
        <f t="shared" si="10"/>
        <v>Dec</v>
      </c>
      <c r="P81" s="32">
        <f t="shared" si="11"/>
        <v>2024</v>
      </c>
      <c r="Q81" s="32">
        <f t="shared" ca="1" si="12"/>
        <v>1885</v>
      </c>
      <c r="R81" s="32">
        <f t="shared" si="13"/>
        <v>45657</v>
      </c>
      <c r="S81" s="55">
        <f t="shared" ca="1" si="14"/>
        <v>46281.656764814812</v>
      </c>
      <c r="T81" s="32" t="str">
        <f t="shared" si="15"/>
        <v>Low Sale</v>
      </c>
      <c r="U81" s="73">
        <f t="shared" si="16"/>
        <v>3739.7999999999997</v>
      </c>
      <c r="V81" s="75"/>
      <c r="W81" s="3">
        <f t="shared" si="17"/>
        <v>5</v>
      </c>
      <c r="AK81" s="5"/>
    </row>
    <row r="82" spans="1:37" ht="14.4">
      <c r="A82" s="52" t="s">
        <v>303</v>
      </c>
      <c r="B82" s="53">
        <v>45635</v>
      </c>
      <c r="C82" s="52" t="s">
        <v>304</v>
      </c>
      <c r="D82" s="52" t="s">
        <v>305</v>
      </c>
      <c r="E82" s="52" t="s">
        <v>31</v>
      </c>
      <c r="F82" s="52" t="s">
        <v>32</v>
      </c>
      <c r="G82" s="52" t="s">
        <v>33</v>
      </c>
      <c r="H82" s="52">
        <v>3</v>
      </c>
      <c r="I82" s="52">
        <v>59.99</v>
      </c>
      <c r="J82" s="52" t="s">
        <v>20</v>
      </c>
      <c r="K82" s="52" t="s">
        <v>21</v>
      </c>
      <c r="L82" s="52" t="s">
        <v>27</v>
      </c>
      <c r="M82" s="53">
        <v>45052</v>
      </c>
      <c r="N82" s="54">
        <v>179.97</v>
      </c>
      <c r="O82" s="32" t="str">
        <f t="shared" si="10"/>
        <v>Dec</v>
      </c>
      <c r="P82" s="32">
        <f t="shared" si="11"/>
        <v>2024</v>
      </c>
      <c r="Q82" s="32">
        <f t="shared" ca="1" si="12"/>
        <v>1229</v>
      </c>
      <c r="R82" s="32">
        <f t="shared" si="13"/>
        <v>45657</v>
      </c>
      <c r="S82" s="55">
        <f t="shared" ca="1" si="14"/>
        <v>46281.656764814812</v>
      </c>
      <c r="T82" s="32" t="str">
        <f t="shared" si="15"/>
        <v>Low Sale</v>
      </c>
      <c r="U82" s="73">
        <f t="shared" si="16"/>
        <v>179.97</v>
      </c>
      <c r="V82" s="75"/>
      <c r="W82" s="3">
        <f t="shared" si="17"/>
        <v>1</v>
      </c>
      <c r="AK82" s="5"/>
    </row>
    <row r="83" spans="1:37" ht="14.4">
      <c r="A83" s="52" t="s">
        <v>306</v>
      </c>
      <c r="B83" s="53">
        <v>45635</v>
      </c>
      <c r="C83" s="52" t="s">
        <v>141</v>
      </c>
      <c r="D83" s="52" t="s">
        <v>142</v>
      </c>
      <c r="E83" s="52" t="s">
        <v>114</v>
      </c>
      <c r="F83" s="52" t="s">
        <v>115</v>
      </c>
      <c r="G83" s="52" t="s">
        <v>33</v>
      </c>
      <c r="H83" s="52">
        <v>4</v>
      </c>
      <c r="I83" s="52">
        <v>79.989999999999995</v>
      </c>
      <c r="J83" s="52" t="s">
        <v>57</v>
      </c>
      <c r="K83" s="52" t="s">
        <v>63</v>
      </c>
      <c r="L83" s="52" t="s">
        <v>36</v>
      </c>
      <c r="M83" s="53">
        <v>44921</v>
      </c>
      <c r="N83" s="54">
        <v>319.95999999999998</v>
      </c>
      <c r="O83" s="32" t="str">
        <f t="shared" si="10"/>
        <v>Dec</v>
      </c>
      <c r="P83" s="32">
        <f t="shared" si="11"/>
        <v>2024</v>
      </c>
      <c r="Q83" s="32">
        <f t="shared" ca="1" si="12"/>
        <v>1360</v>
      </c>
      <c r="R83" s="32">
        <f t="shared" si="13"/>
        <v>45657</v>
      </c>
      <c r="S83" s="55">
        <f t="shared" ca="1" si="14"/>
        <v>46281.656764814812</v>
      </c>
      <c r="T83" s="32" t="str">
        <f t="shared" si="15"/>
        <v>Low Sale</v>
      </c>
      <c r="U83" s="73">
        <f t="shared" si="16"/>
        <v>3819.91</v>
      </c>
      <c r="V83" s="75"/>
      <c r="W83" s="3">
        <f t="shared" si="17"/>
        <v>2</v>
      </c>
      <c r="AK83" s="5"/>
    </row>
    <row r="84" spans="1:37" ht="14.4">
      <c r="A84" s="52" t="s">
        <v>307</v>
      </c>
      <c r="B84" s="53">
        <v>45636</v>
      </c>
      <c r="C84" s="52" t="s">
        <v>120</v>
      </c>
      <c r="D84" s="52" t="s">
        <v>121</v>
      </c>
      <c r="E84" s="52" t="s">
        <v>114</v>
      </c>
      <c r="F84" s="52" t="s">
        <v>115</v>
      </c>
      <c r="G84" s="52" t="s">
        <v>33</v>
      </c>
      <c r="H84" s="52">
        <v>3</v>
      </c>
      <c r="I84" s="52">
        <v>79.989999999999995</v>
      </c>
      <c r="J84" s="52" t="s">
        <v>57</v>
      </c>
      <c r="K84" s="52" t="s">
        <v>63</v>
      </c>
      <c r="L84" s="52" t="s">
        <v>36</v>
      </c>
      <c r="M84" s="53">
        <v>44779</v>
      </c>
      <c r="N84" s="54">
        <v>239.97</v>
      </c>
      <c r="O84" s="32" t="str">
        <f t="shared" si="10"/>
        <v>Dec</v>
      </c>
      <c r="P84" s="32">
        <f t="shared" si="11"/>
        <v>2024</v>
      </c>
      <c r="Q84" s="32">
        <f t="shared" ca="1" si="12"/>
        <v>1502</v>
      </c>
      <c r="R84" s="32">
        <f t="shared" si="13"/>
        <v>45657</v>
      </c>
      <c r="S84" s="55">
        <f t="shared" ca="1" si="14"/>
        <v>46281.656764814812</v>
      </c>
      <c r="T84" s="32" t="str">
        <f t="shared" si="15"/>
        <v>Low Sale</v>
      </c>
      <c r="U84" s="73">
        <f t="shared" si="16"/>
        <v>2709.84</v>
      </c>
      <c r="V84" s="75"/>
      <c r="W84" s="3">
        <f t="shared" si="17"/>
        <v>5</v>
      </c>
      <c r="AK84" s="5"/>
    </row>
    <row r="85" spans="1:37" ht="14.4">
      <c r="A85" s="52" t="s">
        <v>308</v>
      </c>
      <c r="B85" s="53">
        <v>45638</v>
      </c>
      <c r="C85" s="52" t="s">
        <v>72</v>
      </c>
      <c r="D85" s="52" t="s">
        <v>73</v>
      </c>
      <c r="E85" s="52" t="s">
        <v>61</v>
      </c>
      <c r="F85" s="52" t="s">
        <v>62</v>
      </c>
      <c r="G85" s="52" t="s">
        <v>19</v>
      </c>
      <c r="H85" s="52">
        <v>2</v>
      </c>
      <c r="I85" s="52">
        <v>899.99</v>
      </c>
      <c r="J85" s="52" t="s">
        <v>20</v>
      </c>
      <c r="K85" s="52" t="s">
        <v>40</v>
      </c>
      <c r="L85" s="52" t="s">
        <v>22</v>
      </c>
      <c r="M85" s="53">
        <v>44406</v>
      </c>
      <c r="N85" s="54">
        <v>1799.98</v>
      </c>
      <c r="O85" s="32" t="str">
        <f t="shared" si="10"/>
        <v>Dec</v>
      </c>
      <c r="P85" s="32">
        <f t="shared" si="11"/>
        <v>2024</v>
      </c>
      <c r="Q85" s="32">
        <f t="shared" ca="1" si="12"/>
        <v>1875</v>
      </c>
      <c r="R85" s="32">
        <f t="shared" si="13"/>
        <v>45657</v>
      </c>
      <c r="S85" s="55">
        <f t="shared" ca="1" si="14"/>
        <v>46281.656764814812</v>
      </c>
      <c r="T85" s="32" t="str">
        <f t="shared" si="15"/>
        <v>High Sale</v>
      </c>
      <c r="U85" s="73">
        <f t="shared" si="16"/>
        <v>2699.92</v>
      </c>
      <c r="V85" s="75"/>
      <c r="W85" s="3">
        <f t="shared" si="17"/>
        <v>3</v>
      </c>
      <c r="AK85" s="5"/>
    </row>
    <row r="86" spans="1:37" ht="14.4">
      <c r="A86" s="52" t="s">
        <v>309</v>
      </c>
      <c r="B86" s="53">
        <v>45641</v>
      </c>
      <c r="C86" s="52" t="s">
        <v>182</v>
      </c>
      <c r="D86" s="52" t="s">
        <v>183</v>
      </c>
      <c r="E86" s="52" t="s">
        <v>44</v>
      </c>
      <c r="F86" s="52" t="s">
        <v>45</v>
      </c>
      <c r="G86" s="52" t="s">
        <v>46</v>
      </c>
      <c r="H86" s="52">
        <v>1</v>
      </c>
      <c r="I86" s="52">
        <v>149.99</v>
      </c>
      <c r="J86" s="52" t="s">
        <v>57</v>
      </c>
      <c r="K86" s="52" t="s">
        <v>63</v>
      </c>
      <c r="L86" s="52" t="s">
        <v>36</v>
      </c>
      <c r="M86" s="53">
        <v>45200</v>
      </c>
      <c r="N86" s="54">
        <v>149.99</v>
      </c>
      <c r="O86" s="32" t="str">
        <f t="shared" si="10"/>
        <v>Dec</v>
      </c>
      <c r="P86" s="32">
        <f t="shared" si="11"/>
        <v>2024</v>
      </c>
      <c r="Q86" s="32">
        <f t="shared" ca="1" si="12"/>
        <v>1081</v>
      </c>
      <c r="R86" s="32">
        <f t="shared" si="13"/>
        <v>45657</v>
      </c>
      <c r="S86" s="55">
        <f t="shared" ca="1" si="14"/>
        <v>46281.656764814812</v>
      </c>
      <c r="T86" s="32" t="str">
        <f t="shared" si="15"/>
        <v>Low Sale</v>
      </c>
      <c r="U86" s="73">
        <f t="shared" si="16"/>
        <v>689.95</v>
      </c>
      <c r="V86" s="75"/>
      <c r="W86" s="3">
        <f t="shared" si="17"/>
        <v>3</v>
      </c>
      <c r="AK86" s="5"/>
    </row>
    <row r="87" spans="1:37" ht="14.4">
      <c r="A87" s="52" t="s">
        <v>310</v>
      </c>
      <c r="B87" s="53">
        <v>45641</v>
      </c>
      <c r="C87" s="52" t="s">
        <v>138</v>
      </c>
      <c r="D87" s="52" t="s">
        <v>139</v>
      </c>
      <c r="E87" s="52" t="s">
        <v>105</v>
      </c>
      <c r="F87" s="52" t="s">
        <v>106</v>
      </c>
      <c r="G87" s="52" t="s">
        <v>46</v>
      </c>
      <c r="H87" s="52">
        <v>2</v>
      </c>
      <c r="I87" s="52">
        <v>299.99</v>
      </c>
      <c r="J87" s="52" t="s">
        <v>20</v>
      </c>
      <c r="K87" s="52" t="s">
        <v>63</v>
      </c>
      <c r="L87" s="52" t="s">
        <v>27</v>
      </c>
      <c r="M87" s="53">
        <v>44724</v>
      </c>
      <c r="N87" s="54">
        <v>599.98</v>
      </c>
      <c r="O87" s="32" t="str">
        <f t="shared" si="10"/>
        <v>Dec</v>
      </c>
      <c r="P87" s="32">
        <f t="shared" si="11"/>
        <v>2024</v>
      </c>
      <c r="Q87" s="32">
        <f t="shared" ca="1" si="12"/>
        <v>1557</v>
      </c>
      <c r="R87" s="32">
        <f t="shared" si="13"/>
        <v>45657</v>
      </c>
      <c r="S87" s="55">
        <f t="shared" ca="1" si="14"/>
        <v>46281.656764814812</v>
      </c>
      <c r="T87" s="32" t="str">
        <f t="shared" si="15"/>
        <v>Low Sale</v>
      </c>
      <c r="U87" s="73">
        <f t="shared" si="16"/>
        <v>2469.8600000000006</v>
      </c>
      <c r="V87" s="75"/>
      <c r="W87" s="3">
        <f t="shared" si="17"/>
        <v>5</v>
      </c>
      <c r="AK87" s="5"/>
    </row>
    <row r="88" spans="1:37" ht="14.4">
      <c r="A88" s="52" t="s">
        <v>311</v>
      </c>
      <c r="B88" s="53">
        <v>45644</v>
      </c>
      <c r="C88" s="52" t="s">
        <v>132</v>
      </c>
      <c r="D88" s="52" t="s">
        <v>133</v>
      </c>
      <c r="E88" s="52" t="s">
        <v>31</v>
      </c>
      <c r="F88" s="52" t="s">
        <v>32</v>
      </c>
      <c r="G88" s="52" t="s">
        <v>33</v>
      </c>
      <c r="H88" s="52">
        <v>2</v>
      </c>
      <c r="I88" s="52">
        <v>59.99</v>
      </c>
      <c r="J88" s="52" t="s">
        <v>20</v>
      </c>
      <c r="K88" s="52" t="s">
        <v>50</v>
      </c>
      <c r="L88" s="52" t="s">
        <v>22</v>
      </c>
      <c r="M88" s="53">
        <v>45191</v>
      </c>
      <c r="N88" s="54">
        <v>119.98</v>
      </c>
      <c r="O88" s="32" t="str">
        <f t="shared" si="10"/>
        <v>Dec</v>
      </c>
      <c r="P88" s="32">
        <f t="shared" si="11"/>
        <v>2024</v>
      </c>
      <c r="Q88" s="32">
        <f t="shared" ca="1" si="12"/>
        <v>1090</v>
      </c>
      <c r="R88" s="32">
        <f t="shared" si="13"/>
        <v>45657</v>
      </c>
      <c r="S88" s="55">
        <f t="shared" ca="1" si="14"/>
        <v>46281.656764814812</v>
      </c>
      <c r="T88" s="32" t="str">
        <f t="shared" si="15"/>
        <v>Low Sale</v>
      </c>
      <c r="U88" s="73">
        <f t="shared" si="16"/>
        <v>869.93000000000006</v>
      </c>
      <c r="V88" s="75"/>
      <c r="W88" s="3">
        <f t="shared" si="17"/>
        <v>3</v>
      </c>
      <c r="AK88" s="5"/>
    </row>
    <row r="89" spans="1:37" ht="14.4">
      <c r="A89" s="52" t="s">
        <v>312</v>
      </c>
      <c r="B89" s="53">
        <v>45645</v>
      </c>
      <c r="C89" s="52" t="s">
        <v>182</v>
      </c>
      <c r="D89" s="52" t="s">
        <v>183</v>
      </c>
      <c r="E89" s="52" t="s">
        <v>117</v>
      </c>
      <c r="F89" s="52" t="s">
        <v>118</v>
      </c>
      <c r="G89" s="52" t="s">
        <v>19</v>
      </c>
      <c r="H89" s="52">
        <v>1</v>
      </c>
      <c r="I89" s="52">
        <v>89.99</v>
      </c>
      <c r="J89" s="52" t="s">
        <v>57</v>
      </c>
      <c r="K89" s="52" t="s">
        <v>21</v>
      </c>
      <c r="L89" s="52" t="s">
        <v>36</v>
      </c>
      <c r="M89" s="53">
        <v>44760</v>
      </c>
      <c r="N89" s="54">
        <v>89.99</v>
      </c>
      <c r="O89" s="32" t="str">
        <f t="shared" si="10"/>
        <v>Dec</v>
      </c>
      <c r="P89" s="32">
        <f t="shared" si="11"/>
        <v>2024</v>
      </c>
      <c r="Q89" s="32">
        <f t="shared" ca="1" si="12"/>
        <v>1521</v>
      </c>
      <c r="R89" s="32">
        <f t="shared" si="13"/>
        <v>45657</v>
      </c>
      <c r="S89" s="55">
        <f t="shared" ca="1" si="14"/>
        <v>46281.656764814812</v>
      </c>
      <c r="T89" s="32" t="str">
        <f t="shared" si="15"/>
        <v>Low Sale</v>
      </c>
      <c r="U89" s="73">
        <f t="shared" si="16"/>
        <v>689.95</v>
      </c>
      <c r="V89" s="75"/>
      <c r="W89" s="3">
        <f t="shared" si="17"/>
        <v>3</v>
      </c>
      <c r="AK89" s="5"/>
    </row>
    <row r="90" spans="1:37" ht="14.4">
      <c r="A90" s="52" t="s">
        <v>313</v>
      </c>
      <c r="B90" s="53">
        <v>45645</v>
      </c>
      <c r="C90" s="52" t="s">
        <v>147</v>
      </c>
      <c r="D90" s="52" t="s">
        <v>148</v>
      </c>
      <c r="E90" s="52" t="s">
        <v>61</v>
      </c>
      <c r="F90" s="52" t="s">
        <v>62</v>
      </c>
      <c r="G90" s="52" t="s">
        <v>19</v>
      </c>
      <c r="H90" s="52">
        <v>5</v>
      </c>
      <c r="I90" s="52">
        <v>899.99</v>
      </c>
      <c r="J90" s="52" t="s">
        <v>57</v>
      </c>
      <c r="K90" s="52" t="s">
        <v>63</v>
      </c>
      <c r="L90" s="52" t="s">
        <v>36</v>
      </c>
      <c r="M90" s="53">
        <v>44625</v>
      </c>
      <c r="N90" s="54">
        <v>4499.95</v>
      </c>
      <c r="O90" s="32" t="str">
        <f t="shared" si="10"/>
        <v>Dec</v>
      </c>
      <c r="P90" s="32">
        <f t="shared" si="11"/>
        <v>2024</v>
      </c>
      <c r="Q90" s="32">
        <f t="shared" ca="1" si="12"/>
        <v>1656</v>
      </c>
      <c r="R90" s="32">
        <f t="shared" si="13"/>
        <v>45657</v>
      </c>
      <c r="S90" s="55">
        <f t="shared" ca="1" si="14"/>
        <v>46281.656764814812</v>
      </c>
      <c r="T90" s="32" t="str">
        <f t="shared" si="15"/>
        <v>High Sale</v>
      </c>
      <c r="U90" s="73">
        <f t="shared" si="16"/>
        <v>4759.9199999999992</v>
      </c>
      <c r="V90" s="75"/>
      <c r="W90" s="3">
        <f t="shared" si="17"/>
        <v>3</v>
      </c>
      <c r="AK90" s="5"/>
    </row>
    <row r="91" spans="1:37" ht="14.4">
      <c r="A91" s="52" t="s">
        <v>314</v>
      </c>
      <c r="B91" s="53">
        <v>45646</v>
      </c>
      <c r="C91" s="52" t="s">
        <v>42</v>
      </c>
      <c r="D91" s="52" t="s">
        <v>43</v>
      </c>
      <c r="E91" s="52" t="s">
        <v>44</v>
      </c>
      <c r="F91" s="52" t="s">
        <v>45</v>
      </c>
      <c r="G91" s="52" t="s">
        <v>46</v>
      </c>
      <c r="H91" s="52">
        <v>2</v>
      </c>
      <c r="I91" s="52">
        <v>149.99</v>
      </c>
      <c r="J91" s="52" t="s">
        <v>20</v>
      </c>
      <c r="K91" s="52" t="s">
        <v>35</v>
      </c>
      <c r="L91" s="52" t="s">
        <v>22</v>
      </c>
      <c r="M91" s="53">
        <v>45239</v>
      </c>
      <c r="N91" s="54">
        <v>299.98</v>
      </c>
      <c r="O91" s="32" t="str">
        <f t="shared" si="10"/>
        <v>Dec</v>
      </c>
      <c r="P91" s="32">
        <f t="shared" si="11"/>
        <v>2024</v>
      </c>
      <c r="Q91" s="32">
        <f t="shared" ca="1" si="12"/>
        <v>1042</v>
      </c>
      <c r="R91" s="32">
        <f t="shared" si="13"/>
        <v>45657</v>
      </c>
      <c r="S91" s="55">
        <f t="shared" ca="1" si="14"/>
        <v>46281.656764814812</v>
      </c>
      <c r="T91" s="32" t="str">
        <f t="shared" si="15"/>
        <v>Low Sale</v>
      </c>
      <c r="U91" s="73">
        <f t="shared" si="16"/>
        <v>3569.8</v>
      </c>
      <c r="V91" s="75"/>
      <c r="W91" s="3">
        <f t="shared" si="17"/>
        <v>7</v>
      </c>
      <c r="AK91" s="5"/>
    </row>
    <row r="92" spans="1:37" ht="14.4">
      <c r="A92" s="52" t="s">
        <v>315</v>
      </c>
      <c r="B92" s="53">
        <v>45648</v>
      </c>
      <c r="C92" s="52" t="s">
        <v>112</v>
      </c>
      <c r="D92" s="52" t="s">
        <v>113</v>
      </c>
      <c r="E92" s="52" t="s">
        <v>52</v>
      </c>
      <c r="F92" s="52" t="s">
        <v>53</v>
      </c>
      <c r="G92" s="52" t="s">
        <v>19</v>
      </c>
      <c r="H92" s="52">
        <v>2</v>
      </c>
      <c r="I92" s="52">
        <v>149.99</v>
      </c>
      <c r="J92" s="52" t="s">
        <v>57</v>
      </c>
      <c r="K92" s="52" t="s">
        <v>50</v>
      </c>
      <c r="L92" s="52" t="s">
        <v>27</v>
      </c>
      <c r="M92" s="53">
        <v>45280</v>
      </c>
      <c r="N92" s="54">
        <v>299.98</v>
      </c>
      <c r="O92" s="32" t="str">
        <f t="shared" si="10"/>
        <v>Dec</v>
      </c>
      <c r="P92" s="32">
        <f t="shared" si="11"/>
        <v>2024</v>
      </c>
      <c r="Q92" s="32">
        <f t="shared" ca="1" si="12"/>
        <v>1001</v>
      </c>
      <c r="R92" s="32">
        <f t="shared" si="13"/>
        <v>45657</v>
      </c>
      <c r="S92" s="55">
        <f t="shared" ca="1" si="14"/>
        <v>46281.656764814812</v>
      </c>
      <c r="T92" s="32" t="str">
        <f t="shared" si="15"/>
        <v>Low Sale</v>
      </c>
      <c r="U92" s="73">
        <f t="shared" si="16"/>
        <v>839.93000000000006</v>
      </c>
      <c r="V92" s="75"/>
      <c r="W92" s="3">
        <f t="shared" si="17"/>
        <v>3</v>
      </c>
      <c r="AK92" s="5"/>
    </row>
    <row r="93" spans="1:37" ht="14.4">
      <c r="A93" s="52" t="s">
        <v>316</v>
      </c>
      <c r="B93" s="53">
        <v>45648</v>
      </c>
      <c r="C93" s="52" t="s">
        <v>182</v>
      </c>
      <c r="D93" s="52" t="s">
        <v>183</v>
      </c>
      <c r="E93" s="52" t="s">
        <v>44</v>
      </c>
      <c r="F93" s="52" t="s">
        <v>45</v>
      </c>
      <c r="G93" s="52" t="s">
        <v>46</v>
      </c>
      <c r="H93" s="52">
        <v>3</v>
      </c>
      <c r="I93" s="52">
        <v>149.99</v>
      </c>
      <c r="J93" s="52" t="s">
        <v>57</v>
      </c>
      <c r="K93" s="52" t="s">
        <v>40</v>
      </c>
      <c r="L93" s="52" t="s">
        <v>36</v>
      </c>
      <c r="M93" s="53">
        <v>44522</v>
      </c>
      <c r="N93" s="54">
        <v>449.97</v>
      </c>
      <c r="O93" s="32" t="str">
        <f t="shared" si="10"/>
        <v>Dec</v>
      </c>
      <c r="P93" s="32">
        <f t="shared" si="11"/>
        <v>2024</v>
      </c>
      <c r="Q93" s="32">
        <f t="shared" ca="1" si="12"/>
        <v>1759</v>
      </c>
      <c r="R93" s="32">
        <f t="shared" si="13"/>
        <v>45657</v>
      </c>
      <c r="S93" s="55">
        <f t="shared" ca="1" si="14"/>
        <v>46281.656764814812</v>
      </c>
      <c r="T93" s="32" t="str">
        <f t="shared" si="15"/>
        <v>Low Sale</v>
      </c>
      <c r="U93" s="73">
        <f t="shared" si="16"/>
        <v>689.95</v>
      </c>
      <c r="V93" s="75"/>
      <c r="W93" s="3">
        <f t="shared" si="17"/>
        <v>3</v>
      </c>
      <c r="AK93" s="5"/>
    </row>
    <row r="94" spans="1:37" ht="14.4">
      <c r="A94" s="52" t="s">
        <v>317</v>
      </c>
      <c r="B94" s="53">
        <v>45649</v>
      </c>
      <c r="C94" s="52" t="s">
        <v>29</v>
      </c>
      <c r="D94" s="52" t="s">
        <v>30</v>
      </c>
      <c r="E94" s="52" t="s">
        <v>105</v>
      </c>
      <c r="F94" s="52" t="s">
        <v>106</v>
      </c>
      <c r="G94" s="52" t="s">
        <v>46</v>
      </c>
      <c r="H94" s="52">
        <v>2</v>
      </c>
      <c r="I94" s="52">
        <v>299.99</v>
      </c>
      <c r="J94" s="52" t="s">
        <v>34</v>
      </c>
      <c r="K94" s="52" t="s">
        <v>35</v>
      </c>
      <c r="L94" s="52" t="s">
        <v>22</v>
      </c>
      <c r="M94" s="53">
        <v>44721</v>
      </c>
      <c r="N94" s="54">
        <v>599.98</v>
      </c>
      <c r="O94" s="32" t="str">
        <f t="shared" si="10"/>
        <v>Dec</v>
      </c>
      <c r="P94" s="32">
        <f t="shared" si="11"/>
        <v>2024</v>
      </c>
      <c r="Q94" s="32">
        <f t="shared" ca="1" si="12"/>
        <v>1560</v>
      </c>
      <c r="R94" s="32">
        <f t="shared" si="13"/>
        <v>45657</v>
      </c>
      <c r="S94" s="55">
        <f t="shared" ca="1" si="14"/>
        <v>46281.656764814812</v>
      </c>
      <c r="T94" s="32" t="str">
        <f t="shared" si="15"/>
        <v>Low Sale</v>
      </c>
      <c r="U94" s="73">
        <f t="shared" si="16"/>
        <v>3179.88</v>
      </c>
      <c r="V94" s="75"/>
      <c r="W94" s="3">
        <f t="shared" si="17"/>
        <v>5</v>
      </c>
      <c r="AK94" s="5"/>
    </row>
    <row r="95" spans="1:37" ht="14.4">
      <c r="A95" s="52" t="s">
        <v>318</v>
      </c>
      <c r="B95" s="53">
        <v>45654</v>
      </c>
      <c r="C95" s="52" t="s">
        <v>42</v>
      </c>
      <c r="D95" s="52" t="s">
        <v>43</v>
      </c>
      <c r="E95" s="52" t="s">
        <v>105</v>
      </c>
      <c r="F95" s="52" t="s">
        <v>106</v>
      </c>
      <c r="G95" s="52" t="s">
        <v>46</v>
      </c>
      <c r="H95" s="52">
        <v>2</v>
      </c>
      <c r="I95" s="52">
        <v>299.99</v>
      </c>
      <c r="J95" s="52" t="s">
        <v>20</v>
      </c>
      <c r="K95" s="52" t="s">
        <v>50</v>
      </c>
      <c r="L95" s="52" t="s">
        <v>22</v>
      </c>
      <c r="M95" s="53">
        <v>44771</v>
      </c>
      <c r="N95" s="54">
        <v>599.98</v>
      </c>
      <c r="O95" s="32" t="str">
        <f t="shared" si="10"/>
        <v>Dec</v>
      </c>
      <c r="P95" s="32">
        <f t="shared" si="11"/>
        <v>2024</v>
      </c>
      <c r="Q95" s="32">
        <f t="shared" ca="1" si="12"/>
        <v>1510</v>
      </c>
      <c r="R95" s="32">
        <f t="shared" si="13"/>
        <v>45657</v>
      </c>
      <c r="S95" s="55">
        <f t="shared" ca="1" si="14"/>
        <v>46281.656764814812</v>
      </c>
      <c r="T95" s="32" t="str">
        <f t="shared" si="15"/>
        <v>Low Sale</v>
      </c>
      <c r="U95" s="73">
        <f t="shared" si="16"/>
        <v>3569.8</v>
      </c>
      <c r="V95" s="75"/>
      <c r="W95" s="3">
        <f t="shared" si="17"/>
        <v>7</v>
      </c>
      <c r="AK95" s="5"/>
    </row>
    <row r="96" spans="1:37" ht="14.4">
      <c r="A96" s="52" t="s">
        <v>319</v>
      </c>
      <c r="B96" s="53">
        <v>45654</v>
      </c>
      <c r="C96" s="52" t="s">
        <v>120</v>
      </c>
      <c r="D96" s="52" t="s">
        <v>121</v>
      </c>
      <c r="E96" s="52" t="s">
        <v>126</v>
      </c>
      <c r="F96" s="52" t="s">
        <v>127</v>
      </c>
      <c r="G96" s="52" t="s">
        <v>46</v>
      </c>
      <c r="H96" s="52">
        <v>4</v>
      </c>
      <c r="I96" s="52">
        <v>199.99</v>
      </c>
      <c r="J96" s="52" t="s">
        <v>26</v>
      </c>
      <c r="K96" s="52" t="s">
        <v>21</v>
      </c>
      <c r="L96" s="52" t="s">
        <v>22</v>
      </c>
      <c r="M96" s="53">
        <v>44523</v>
      </c>
      <c r="N96" s="54">
        <v>799.96</v>
      </c>
      <c r="O96" s="32" t="str">
        <f t="shared" si="10"/>
        <v>Dec</v>
      </c>
      <c r="P96" s="32">
        <f t="shared" si="11"/>
        <v>2024</v>
      </c>
      <c r="Q96" s="32">
        <f t="shared" ca="1" si="12"/>
        <v>1758</v>
      </c>
      <c r="R96" s="32">
        <f t="shared" si="13"/>
        <v>45657</v>
      </c>
      <c r="S96" s="55">
        <f t="shared" ca="1" si="14"/>
        <v>46281.656764814812</v>
      </c>
      <c r="T96" s="32" t="str">
        <f t="shared" si="15"/>
        <v>Low Sale</v>
      </c>
      <c r="U96" s="73">
        <f t="shared" si="16"/>
        <v>2709.84</v>
      </c>
      <c r="V96" s="75"/>
      <c r="W96" s="3">
        <f t="shared" si="17"/>
        <v>5</v>
      </c>
      <c r="AK96" s="5"/>
    </row>
    <row r="97" spans="1:37" ht="14.4">
      <c r="A97" s="52" t="s">
        <v>320</v>
      </c>
      <c r="B97" s="53">
        <v>45655</v>
      </c>
      <c r="C97" s="52" t="s">
        <v>59</v>
      </c>
      <c r="D97" s="52" t="s">
        <v>60</v>
      </c>
      <c r="E97" s="52" t="s">
        <v>117</v>
      </c>
      <c r="F97" s="52" t="s">
        <v>118</v>
      </c>
      <c r="G97" s="52" t="s">
        <v>19</v>
      </c>
      <c r="H97" s="52">
        <v>1</v>
      </c>
      <c r="I97" s="52">
        <v>89.99</v>
      </c>
      <c r="J97" s="52" t="s">
        <v>26</v>
      </c>
      <c r="K97" s="52" t="s">
        <v>35</v>
      </c>
      <c r="L97" s="52" t="s">
        <v>27</v>
      </c>
      <c r="M97" s="53">
        <v>44591</v>
      </c>
      <c r="N97" s="54">
        <v>89.99</v>
      </c>
      <c r="O97" s="32" t="str">
        <f t="shared" si="10"/>
        <v>Dec</v>
      </c>
      <c r="P97" s="32">
        <f t="shared" si="11"/>
        <v>2024</v>
      </c>
      <c r="Q97" s="32">
        <f t="shared" ca="1" si="12"/>
        <v>1690</v>
      </c>
      <c r="R97" s="32">
        <f t="shared" si="13"/>
        <v>45657</v>
      </c>
      <c r="S97" s="55">
        <f t="shared" ca="1" si="14"/>
        <v>46281.656764814812</v>
      </c>
      <c r="T97" s="32" t="str">
        <f t="shared" si="15"/>
        <v>Low Sale</v>
      </c>
      <c r="U97" s="73">
        <f t="shared" si="16"/>
        <v>3329.9199999999992</v>
      </c>
      <c r="V97" s="75"/>
      <c r="W97" s="3">
        <f t="shared" si="17"/>
        <v>4</v>
      </c>
      <c r="AK97" s="5"/>
    </row>
    <row r="98" spans="1:37" ht="14.4">
      <c r="A98" s="52" t="s">
        <v>321</v>
      </c>
      <c r="B98" s="53">
        <v>45655</v>
      </c>
      <c r="C98" s="52" t="s">
        <v>108</v>
      </c>
      <c r="D98" s="52" t="s">
        <v>109</v>
      </c>
      <c r="E98" s="52" t="s">
        <v>44</v>
      </c>
      <c r="F98" s="52" t="s">
        <v>45</v>
      </c>
      <c r="G98" s="52" t="s">
        <v>46</v>
      </c>
      <c r="H98" s="52">
        <v>5</v>
      </c>
      <c r="I98" s="52">
        <v>149.99</v>
      </c>
      <c r="J98" s="52" t="s">
        <v>20</v>
      </c>
      <c r="K98" s="52" t="s">
        <v>21</v>
      </c>
      <c r="L98" s="52" t="s">
        <v>27</v>
      </c>
      <c r="M98" s="53">
        <v>45347</v>
      </c>
      <c r="N98" s="54">
        <v>749.95</v>
      </c>
      <c r="O98" s="32" t="str">
        <f t="shared" si="10"/>
        <v>Dec</v>
      </c>
      <c r="P98" s="32">
        <f t="shared" si="11"/>
        <v>2024</v>
      </c>
      <c r="Q98" s="32">
        <f t="shared" ca="1" si="12"/>
        <v>934</v>
      </c>
      <c r="R98" s="32">
        <f t="shared" si="13"/>
        <v>45657</v>
      </c>
      <c r="S98" s="55">
        <f t="shared" ca="1" si="14"/>
        <v>46281.656764814812</v>
      </c>
      <c r="T98" s="32" t="str">
        <f t="shared" si="15"/>
        <v>Low Sale</v>
      </c>
      <c r="U98" s="73">
        <f t="shared" ref="U98:U129" si="18">SUMIFS($N:$N, $D:$D, D98)</f>
        <v>3739.7999999999997</v>
      </c>
      <c r="V98" s="75"/>
      <c r="W98" s="3">
        <f t="shared" ref="W98:W129" si="19">COUNTIF($D$2:$D$171,D98)</f>
        <v>5</v>
      </c>
      <c r="AK98" s="5"/>
    </row>
    <row r="99" spans="1:37" ht="14.4">
      <c r="A99" s="52" t="s">
        <v>322</v>
      </c>
      <c r="B99" s="53">
        <v>45657</v>
      </c>
      <c r="C99" s="52" t="s">
        <v>86</v>
      </c>
      <c r="D99" s="52" t="s">
        <v>87</v>
      </c>
      <c r="E99" s="52" t="s">
        <v>61</v>
      </c>
      <c r="F99" s="52" t="s">
        <v>62</v>
      </c>
      <c r="G99" s="52" t="s">
        <v>19</v>
      </c>
      <c r="H99" s="52">
        <v>1</v>
      </c>
      <c r="I99" s="52">
        <v>899.99</v>
      </c>
      <c r="J99" s="52" t="s">
        <v>34</v>
      </c>
      <c r="K99" s="52" t="s">
        <v>40</v>
      </c>
      <c r="L99" s="52" t="s">
        <v>27</v>
      </c>
      <c r="M99" s="53">
        <v>45050</v>
      </c>
      <c r="N99" s="54">
        <v>899.99</v>
      </c>
      <c r="O99" s="32" t="str">
        <f t="shared" si="10"/>
        <v>Dec</v>
      </c>
      <c r="P99" s="32">
        <f t="shared" si="11"/>
        <v>2024</v>
      </c>
      <c r="Q99" s="32">
        <f t="shared" ca="1" si="12"/>
        <v>1231</v>
      </c>
      <c r="R99" s="32">
        <f t="shared" si="13"/>
        <v>45657</v>
      </c>
      <c r="S99" s="55">
        <f t="shared" ca="1" si="14"/>
        <v>46281.656764814812</v>
      </c>
      <c r="T99" s="32" t="str">
        <f t="shared" si="15"/>
        <v>Low Sale</v>
      </c>
      <c r="U99" s="73">
        <f t="shared" si="18"/>
        <v>12399.76</v>
      </c>
      <c r="V99" s="75"/>
      <c r="W99" s="3">
        <f t="shared" si="19"/>
        <v>8</v>
      </c>
      <c r="AK99" s="5"/>
    </row>
    <row r="100" spans="1:37" ht="14.4">
      <c r="A100" s="52" t="s">
        <v>323</v>
      </c>
      <c r="B100" s="53">
        <v>45660</v>
      </c>
      <c r="C100" s="52" t="s">
        <v>147</v>
      </c>
      <c r="D100" s="52" t="s">
        <v>148</v>
      </c>
      <c r="E100" s="52" t="s">
        <v>117</v>
      </c>
      <c r="F100" s="52" t="s">
        <v>118</v>
      </c>
      <c r="G100" s="52" t="s">
        <v>19</v>
      </c>
      <c r="H100" s="52">
        <v>2</v>
      </c>
      <c r="I100" s="52">
        <v>89.99</v>
      </c>
      <c r="J100" s="52" t="s">
        <v>26</v>
      </c>
      <c r="K100" s="52" t="s">
        <v>35</v>
      </c>
      <c r="L100" s="52" t="s">
        <v>27</v>
      </c>
      <c r="M100" s="53">
        <v>44564</v>
      </c>
      <c r="N100" s="54">
        <v>179.98</v>
      </c>
      <c r="O100" s="32" t="str">
        <f t="shared" si="10"/>
        <v>Jan</v>
      </c>
      <c r="P100" s="32">
        <f t="shared" si="11"/>
        <v>2025</v>
      </c>
      <c r="Q100" s="32">
        <f t="shared" ca="1" si="12"/>
        <v>1717</v>
      </c>
      <c r="R100" s="32">
        <f t="shared" si="13"/>
        <v>45688</v>
      </c>
      <c r="S100" s="55">
        <f t="shared" ca="1" si="14"/>
        <v>46281.656764814812</v>
      </c>
      <c r="T100" s="32" t="str">
        <f t="shared" si="15"/>
        <v>Low Sale</v>
      </c>
      <c r="U100" s="73">
        <f t="shared" si="18"/>
        <v>4759.9199999999992</v>
      </c>
      <c r="V100" s="75"/>
      <c r="W100" s="3">
        <f t="shared" si="19"/>
        <v>3</v>
      </c>
      <c r="AK100" s="5"/>
    </row>
    <row r="101" spans="1:37" ht="14.4">
      <c r="A101" s="52" t="s">
        <v>324</v>
      </c>
      <c r="B101" s="53">
        <v>45661</v>
      </c>
      <c r="C101" s="52" t="s">
        <v>325</v>
      </c>
      <c r="D101" s="52" t="s">
        <v>326</v>
      </c>
      <c r="E101" s="52" t="s">
        <v>61</v>
      </c>
      <c r="F101" s="52" t="s">
        <v>62</v>
      </c>
      <c r="G101" s="52" t="s">
        <v>19</v>
      </c>
      <c r="H101" s="52">
        <v>1</v>
      </c>
      <c r="I101" s="52">
        <v>899.99</v>
      </c>
      <c r="J101" s="52" t="s">
        <v>34</v>
      </c>
      <c r="K101" s="52" t="s">
        <v>40</v>
      </c>
      <c r="L101" s="52" t="s">
        <v>36</v>
      </c>
      <c r="M101" s="53">
        <v>44752</v>
      </c>
      <c r="N101" s="54">
        <v>899.99</v>
      </c>
      <c r="O101" s="32" t="str">
        <f t="shared" si="10"/>
        <v>Jan</v>
      </c>
      <c r="P101" s="32">
        <f t="shared" si="11"/>
        <v>2025</v>
      </c>
      <c r="Q101" s="32">
        <f t="shared" ca="1" si="12"/>
        <v>1529</v>
      </c>
      <c r="R101" s="32">
        <f t="shared" si="13"/>
        <v>45688</v>
      </c>
      <c r="S101" s="55">
        <f t="shared" ca="1" si="14"/>
        <v>46281.656764814812</v>
      </c>
      <c r="T101" s="32" t="str">
        <f t="shared" si="15"/>
        <v>Low Sale</v>
      </c>
      <c r="U101" s="73">
        <f t="shared" si="18"/>
        <v>1559.94</v>
      </c>
      <c r="V101" s="75"/>
      <c r="W101" s="3">
        <f t="shared" si="19"/>
        <v>3</v>
      </c>
      <c r="AK101" s="5"/>
    </row>
    <row r="102" spans="1:37" ht="14.4">
      <c r="A102" s="52" t="s">
        <v>327</v>
      </c>
      <c r="B102" s="53">
        <v>45663</v>
      </c>
      <c r="C102" s="52" t="s">
        <v>129</v>
      </c>
      <c r="D102" s="52" t="s">
        <v>130</v>
      </c>
      <c r="E102" s="52" t="s">
        <v>52</v>
      </c>
      <c r="F102" s="52" t="s">
        <v>53</v>
      </c>
      <c r="G102" s="52" t="s">
        <v>19</v>
      </c>
      <c r="H102" s="52">
        <v>5</v>
      </c>
      <c r="I102" s="52">
        <v>149.99</v>
      </c>
      <c r="J102" s="52" t="s">
        <v>34</v>
      </c>
      <c r="K102" s="52" t="s">
        <v>63</v>
      </c>
      <c r="L102" s="52" t="s">
        <v>27</v>
      </c>
      <c r="M102" s="53">
        <v>44824</v>
      </c>
      <c r="N102" s="54">
        <v>749.95</v>
      </c>
      <c r="O102" s="32" t="str">
        <f t="shared" si="10"/>
        <v>Jan</v>
      </c>
      <c r="P102" s="32">
        <f t="shared" si="11"/>
        <v>2025</v>
      </c>
      <c r="Q102" s="32">
        <f t="shared" ca="1" si="12"/>
        <v>1457</v>
      </c>
      <c r="R102" s="32">
        <f t="shared" si="13"/>
        <v>45688</v>
      </c>
      <c r="S102" s="55">
        <f t="shared" ca="1" si="14"/>
        <v>46281.656764814812</v>
      </c>
      <c r="T102" s="32" t="str">
        <f t="shared" si="15"/>
        <v>Low Sale</v>
      </c>
      <c r="U102" s="73">
        <f t="shared" si="18"/>
        <v>2039.8000000000002</v>
      </c>
      <c r="V102" s="75"/>
      <c r="W102" s="3">
        <f t="shared" si="19"/>
        <v>5</v>
      </c>
      <c r="AK102" s="5"/>
    </row>
    <row r="103" spans="1:37" ht="14.4">
      <c r="A103" s="52" t="s">
        <v>328</v>
      </c>
      <c r="B103" s="53">
        <v>45663</v>
      </c>
      <c r="C103" s="52" t="s">
        <v>42</v>
      </c>
      <c r="D103" s="52" t="s">
        <v>43</v>
      </c>
      <c r="E103" s="52" t="s">
        <v>105</v>
      </c>
      <c r="F103" s="52" t="s">
        <v>106</v>
      </c>
      <c r="G103" s="52" t="s">
        <v>46</v>
      </c>
      <c r="H103" s="52">
        <v>3</v>
      </c>
      <c r="I103" s="52">
        <v>299.99</v>
      </c>
      <c r="J103" s="52" t="s">
        <v>20</v>
      </c>
      <c r="K103" s="52" t="s">
        <v>35</v>
      </c>
      <c r="L103" s="52" t="s">
        <v>36</v>
      </c>
      <c r="M103" s="53">
        <v>44422</v>
      </c>
      <c r="N103" s="54">
        <v>899.97</v>
      </c>
      <c r="O103" s="32" t="str">
        <f t="shared" si="10"/>
        <v>Jan</v>
      </c>
      <c r="P103" s="32">
        <f t="shared" si="11"/>
        <v>2025</v>
      </c>
      <c r="Q103" s="32">
        <f t="shared" ca="1" si="12"/>
        <v>1859</v>
      </c>
      <c r="R103" s="32">
        <f t="shared" si="13"/>
        <v>45688</v>
      </c>
      <c r="S103" s="55">
        <f t="shared" ca="1" si="14"/>
        <v>46281.656764814812</v>
      </c>
      <c r="T103" s="32" t="str">
        <f t="shared" si="15"/>
        <v>Low Sale</v>
      </c>
      <c r="U103" s="73">
        <f t="shared" si="18"/>
        <v>3569.8</v>
      </c>
      <c r="V103" s="75"/>
      <c r="W103" s="3">
        <f t="shared" si="19"/>
        <v>7</v>
      </c>
      <c r="AK103" s="5"/>
    </row>
    <row r="104" spans="1:37" ht="14.4">
      <c r="A104" s="52" t="s">
        <v>329</v>
      </c>
      <c r="B104" s="53">
        <v>45666</v>
      </c>
      <c r="C104" s="52" t="s">
        <v>65</v>
      </c>
      <c r="D104" s="52" t="s">
        <v>66</v>
      </c>
      <c r="E104" s="52" t="s">
        <v>80</v>
      </c>
      <c r="F104" s="52" t="s">
        <v>81</v>
      </c>
      <c r="G104" s="52" t="s">
        <v>19</v>
      </c>
      <c r="H104" s="52">
        <v>3</v>
      </c>
      <c r="I104" s="52">
        <v>699.99</v>
      </c>
      <c r="J104" s="52" t="s">
        <v>26</v>
      </c>
      <c r="K104" s="52" t="s">
        <v>21</v>
      </c>
      <c r="L104" s="52" t="s">
        <v>27</v>
      </c>
      <c r="M104" s="53">
        <v>45105</v>
      </c>
      <c r="N104" s="54">
        <v>2099.9699999999998</v>
      </c>
      <c r="O104" s="32" t="str">
        <f t="shared" si="10"/>
        <v>Jan</v>
      </c>
      <c r="P104" s="32">
        <f t="shared" si="11"/>
        <v>2025</v>
      </c>
      <c r="Q104" s="32">
        <f t="shared" ca="1" si="12"/>
        <v>1176</v>
      </c>
      <c r="R104" s="32">
        <f t="shared" si="13"/>
        <v>45688</v>
      </c>
      <c r="S104" s="55">
        <f t="shared" ca="1" si="14"/>
        <v>46281.656764814812</v>
      </c>
      <c r="T104" s="32" t="str">
        <f t="shared" si="15"/>
        <v>High Sale</v>
      </c>
      <c r="U104" s="73">
        <f t="shared" si="18"/>
        <v>6159.8499999999995</v>
      </c>
      <c r="V104" s="75"/>
      <c r="W104" s="3">
        <f t="shared" si="19"/>
        <v>5</v>
      </c>
      <c r="AK104" s="5"/>
    </row>
    <row r="105" spans="1:37" ht="14.4">
      <c r="A105" s="52" t="s">
        <v>330</v>
      </c>
      <c r="B105" s="53">
        <v>45667</v>
      </c>
      <c r="C105" s="52" t="s">
        <v>108</v>
      </c>
      <c r="D105" s="52" t="s">
        <v>109</v>
      </c>
      <c r="E105" s="52" t="s">
        <v>126</v>
      </c>
      <c r="F105" s="52" t="s">
        <v>127</v>
      </c>
      <c r="G105" s="52" t="s">
        <v>46</v>
      </c>
      <c r="H105" s="52">
        <v>5</v>
      </c>
      <c r="I105" s="52">
        <v>199.99</v>
      </c>
      <c r="J105" s="52" t="s">
        <v>34</v>
      </c>
      <c r="K105" s="52" t="s">
        <v>21</v>
      </c>
      <c r="L105" s="52" t="s">
        <v>36</v>
      </c>
      <c r="M105" s="53">
        <v>44633</v>
      </c>
      <c r="N105" s="54">
        <v>999.95</v>
      </c>
      <c r="O105" s="32" t="str">
        <f t="shared" si="10"/>
        <v>Jan</v>
      </c>
      <c r="P105" s="32">
        <f t="shared" si="11"/>
        <v>2025</v>
      </c>
      <c r="Q105" s="32">
        <f t="shared" ca="1" si="12"/>
        <v>1648</v>
      </c>
      <c r="R105" s="32">
        <f t="shared" si="13"/>
        <v>45688</v>
      </c>
      <c r="S105" s="55">
        <f t="shared" ca="1" si="14"/>
        <v>46281.656764814812</v>
      </c>
      <c r="T105" s="32" t="str">
        <f t="shared" si="15"/>
        <v>Low Sale</v>
      </c>
      <c r="U105" s="73">
        <f t="shared" si="18"/>
        <v>3739.7999999999997</v>
      </c>
      <c r="V105" s="75"/>
      <c r="W105" s="3">
        <f t="shared" si="19"/>
        <v>5</v>
      </c>
      <c r="AK105" s="5"/>
    </row>
    <row r="106" spans="1:37" ht="14.4">
      <c r="A106" s="52" t="s">
        <v>331</v>
      </c>
      <c r="B106" s="53">
        <v>45667</v>
      </c>
      <c r="C106" s="52" t="s">
        <v>93</v>
      </c>
      <c r="D106" s="52" t="s">
        <v>94</v>
      </c>
      <c r="E106" s="52" t="s">
        <v>17</v>
      </c>
      <c r="F106" s="52" t="s">
        <v>18</v>
      </c>
      <c r="G106" s="52" t="s">
        <v>19</v>
      </c>
      <c r="H106" s="52">
        <v>5</v>
      </c>
      <c r="I106" s="52">
        <v>249.99</v>
      </c>
      <c r="J106" s="52" t="s">
        <v>26</v>
      </c>
      <c r="K106" s="52" t="s">
        <v>35</v>
      </c>
      <c r="L106" s="52" t="s">
        <v>22</v>
      </c>
      <c r="M106" s="53">
        <v>45330</v>
      </c>
      <c r="N106" s="54">
        <v>1249.95</v>
      </c>
      <c r="O106" s="32" t="str">
        <f t="shared" si="10"/>
        <v>Jan</v>
      </c>
      <c r="P106" s="32">
        <f t="shared" si="11"/>
        <v>2025</v>
      </c>
      <c r="Q106" s="32">
        <f t="shared" ca="1" si="12"/>
        <v>951</v>
      </c>
      <c r="R106" s="32">
        <f t="shared" si="13"/>
        <v>45688</v>
      </c>
      <c r="S106" s="55">
        <f t="shared" ca="1" si="14"/>
        <v>46281.656764814812</v>
      </c>
      <c r="T106" s="32" t="str">
        <f t="shared" si="15"/>
        <v>High Sale</v>
      </c>
      <c r="U106" s="73">
        <f t="shared" si="18"/>
        <v>4789.7900000000009</v>
      </c>
      <c r="V106" s="75"/>
      <c r="W106" s="3">
        <f t="shared" si="19"/>
        <v>6</v>
      </c>
      <c r="AK106" s="5"/>
    </row>
    <row r="107" spans="1:37" ht="14.4">
      <c r="A107" s="52" t="s">
        <v>332</v>
      </c>
      <c r="B107" s="53">
        <v>45668</v>
      </c>
      <c r="C107" s="52" t="s">
        <v>138</v>
      </c>
      <c r="D107" s="52" t="s">
        <v>139</v>
      </c>
      <c r="E107" s="52" t="s">
        <v>52</v>
      </c>
      <c r="F107" s="52" t="s">
        <v>53</v>
      </c>
      <c r="G107" s="52" t="s">
        <v>19</v>
      </c>
      <c r="H107" s="52">
        <v>4</v>
      </c>
      <c r="I107" s="52">
        <v>149.99</v>
      </c>
      <c r="J107" s="52" t="s">
        <v>57</v>
      </c>
      <c r="K107" s="52" t="s">
        <v>63</v>
      </c>
      <c r="L107" s="52" t="s">
        <v>36</v>
      </c>
      <c r="M107" s="53">
        <v>44536</v>
      </c>
      <c r="N107" s="54">
        <v>599.96</v>
      </c>
      <c r="O107" s="32" t="str">
        <f t="shared" si="10"/>
        <v>Jan</v>
      </c>
      <c r="P107" s="32">
        <f t="shared" si="11"/>
        <v>2025</v>
      </c>
      <c r="Q107" s="32">
        <f t="shared" ca="1" si="12"/>
        <v>1745</v>
      </c>
      <c r="R107" s="32">
        <f t="shared" si="13"/>
        <v>45688</v>
      </c>
      <c r="S107" s="55">
        <f t="shared" ca="1" si="14"/>
        <v>46281.656764814812</v>
      </c>
      <c r="T107" s="32" t="str">
        <f t="shared" si="15"/>
        <v>Low Sale</v>
      </c>
      <c r="U107" s="73">
        <f t="shared" si="18"/>
        <v>2469.8600000000006</v>
      </c>
      <c r="V107" s="75"/>
      <c r="W107" s="3">
        <f t="shared" si="19"/>
        <v>5</v>
      </c>
      <c r="AK107" s="5"/>
    </row>
    <row r="108" spans="1:37" ht="14.4">
      <c r="A108" s="52" t="s">
        <v>333</v>
      </c>
      <c r="B108" s="53">
        <v>45668</v>
      </c>
      <c r="C108" s="52" t="s">
        <v>78</v>
      </c>
      <c r="D108" s="52" t="s">
        <v>79</v>
      </c>
      <c r="E108" s="52" t="s">
        <v>80</v>
      </c>
      <c r="F108" s="52" t="s">
        <v>81</v>
      </c>
      <c r="G108" s="52" t="s">
        <v>19</v>
      </c>
      <c r="H108" s="52">
        <v>3</v>
      </c>
      <c r="I108" s="52">
        <v>699.99</v>
      </c>
      <c r="J108" s="52" t="s">
        <v>20</v>
      </c>
      <c r="K108" s="52" t="s">
        <v>40</v>
      </c>
      <c r="L108" s="52" t="s">
        <v>27</v>
      </c>
      <c r="M108" s="53">
        <v>44602</v>
      </c>
      <c r="N108" s="54">
        <v>2099.9699999999998</v>
      </c>
      <c r="O108" s="32" t="str">
        <f t="shared" si="10"/>
        <v>Jan</v>
      </c>
      <c r="P108" s="32">
        <f t="shared" si="11"/>
        <v>2025</v>
      </c>
      <c r="Q108" s="32">
        <f t="shared" ca="1" si="12"/>
        <v>1679</v>
      </c>
      <c r="R108" s="32">
        <f t="shared" si="13"/>
        <v>45688</v>
      </c>
      <c r="S108" s="55">
        <f t="shared" ca="1" si="14"/>
        <v>46281.656764814812</v>
      </c>
      <c r="T108" s="32" t="str">
        <f t="shared" si="15"/>
        <v>High Sale</v>
      </c>
      <c r="U108" s="73">
        <f t="shared" si="18"/>
        <v>4199.9399999999996</v>
      </c>
      <c r="V108" s="75"/>
      <c r="W108" s="3">
        <f t="shared" si="19"/>
        <v>2</v>
      </c>
      <c r="AK108" s="5"/>
    </row>
    <row r="109" spans="1:37" ht="14.4">
      <c r="A109" s="52" t="s">
        <v>334</v>
      </c>
      <c r="B109" s="53">
        <v>45670</v>
      </c>
      <c r="C109" s="52" t="s">
        <v>293</v>
      </c>
      <c r="D109" s="52" t="s">
        <v>294</v>
      </c>
      <c r="E109" s="52" t="s">
        <v>114</v>
      </c>
      <c r="F109" s="52" t="s">
        <v>115</v>
      </c>
      <c r="G109" s="52" t="s">
        <v>33</v>
      </c>
      <c r="H109" s="52">
        <v>1</v>
      </c>
      <c r="I109" s="52">
        <v>79.989999999999995</v>
      </c>
      <c r="J109" s="52" t="s">
        <v>26</v>
      </c>
      <c r="K109" s="52" t="s">
        <v>35</v>
      </c>
      <c r="L109" s="52" t="s">
        <v>22</v>
      </c>
      <c r="M109" s="53">
        <v>45322</v>
      </c>
      <c r="N109" s="54">
        <v>79.989999999999995</v>
      </c>
      <c r="O109" s="32" t="str">
        <f t="shared" si="10"/>
        <v>Jan</v>
      </c>
      <c r="P109" s="32">
        <f t="shared" si="11"/>
        <v>2025</v>
      </c>
      <c r="Q109" s="32">
        <f t="shared" ca="1" si="12"/>
        <v>959</v>
      </c>
      <c r="R109" s="32">
        <f t="shared" si="13"/>
        <v>45688</v>
      </c>
      <c r="S109" s="55">
        <f t="shared" ca="1" si="14"/>
        <v>46281.656764814812</v>
      </c>
      <c r="T109" s="32" t="str">
        <f t="shared" si="15"/>
        <v>Low Sale</v>
      </c>
      <c r="U109" s="73">
        <f t="shared" si="18"/>
        <v>4829.8899999999994</v>
      </c>
      <c r="V109" s="75"/>
      <c r="W109" s="3">
        <f t="shared" si="19"/>
        <v>4</v>
      </c>
      <c r="AK109" s="5"/>
    </row>
    <row r="110" spans="1:37" ht="14.4">
      <c r="A110" s="52" t="s">
        <v>335</v>
      </c>
      <c r="B110" s="53">
        <v>45670</v>
      </c>
      <c r="C110" s="52" t="s">
        <v>86</v>
      </c>
      <c r="D110" s="52" t="s">
        <v>87</v>
      </c>
      <c r="E110" s="52" t="s">
        <v>105</v>
      </c>
      <c r="F110" s="52" t="s">
        <v>106</v>
      </c>
      <c r="G110" s="52" t="s">
        <v>46</v>
      </c>
      <c r="H110" s="52">
        <v>1</v>
      </c>
      <c r="I110" s="52">
        <v>299.99</v>
      </c>
      <c r="J110" s="52" t="s">
        <v>26</v>
      </c>
      <c r="K110" s="52" t="s">
        <v>40</v>
      </c>
      <c r="L110" s="52" t="s">
        <v>22</v>
      </c>
      <c r="M110" s="53">
        <v>44436</v>
      </c>
      <c r="N110" s="54">
        <v>299.99</v>
      </c>
      <c r="O110" s="32" t="str">
        <f t="shared" si="10"/>
        <v>Jan</v>
      </c>
      <c r="P110" s="32">
        <f t="shared" si="11"/>
        <v>2025</v>
      </c>
      <c r="Q110" s="32">
        <f t="shared" ca="1" si="12"/>
        <v>1845</v>
      </c>
      <c r="R110" s="32">
        <f t="shared" si="13"/>
        <v>45688</v>
      </c>
      <c r="S110" s="55">
        <f t="shared" ca="1" si="14"/>
        <v>46281.656764814812</v>
      </c>
      <c r="T110" s="32" t="str">
        <f t="shared" si="15"/>
        <v>Low Sale</v>
      </c>
      <c r="U110" s="73">
        <f t="shared" si="18"/>
        <v>12399.76</v>
      </c>
      <c r="V110" s="75"/>
      <c r="W110" s="3">
        <f t="shared" si="19"/>
        <v>8</v>
      </c>
      <c r="AK110" s="5"/>
    </row>
    <row r="111" spans="1:37" ht="14.4">
      <c r="A111" s="52" t="s">
        <v>336</v>
      </c>
      <c r="B111" s="53">
        <v>45671</v>
      </c>
      <c r="C111" s="52" t="s">
        <v>158</v>
      </c>
      <c r="D111" s="52" t="s">
        <v>159</v>
      </c>
      <c r="E111" s="52" t="s">
        <v>17</v>
      </c>
      <c r="F111" s="52" t="s">
        <v>18</v>
      </c>
      <c r="G111" s="52" t="s">
        <v>19</v>
      </c>
      <c r="H111" s="52">
        <v>4</v>
      </c>
      <c r="I111" s="52">
        <v>249.99</v>
      </c>
      <c r="J111" s="52" t="s">
        <v>26</v>
      </c>
      <c r="K111" s="52" t="s">
        <v>40</v>
      </c>
      <c r="L111" s="52" t="s">
        <v>27</v>
      </c>
      <c r="M111" s="53">
        <v>44460</v>
      </c>
      <c r="N111" s="54">
        <v>999.96</v>
      </c>
      <c r="O111" s="32" t="str">
        <f t="shared" si="10"/>
        <v>Jan</v>
      </c>
      <c r="P111" s="32">
        <f t="shared" si="11"/>
        <v>2025</v>
      </c>
      <c r="Q111" s="32">
        <f t="shared" ca="1" si="12"/>
        <v>1821</v>
      </c>
      <c r="R111" s="32">
        <f t="shared" si="13"/>
        <v>45688</v>
      </c>
      <c r="S111" s="55">
        <f t="shared" ca="1" si="14"/>
        <v>46281.656764814812</v>
      </c>
      <c r="T111" s="32" t="str">
        <f t="shared" si="15"/>
        <v>Low Sale</v>
      </c>
      <c r="U111" s="73">
        <f t="shared" si="18"/>
        <v>4589.8999999999996</v>
      </c>
      <c r="V111" s="75"/>
      <c r="W111" s="3">
        <f t="shared" si="19"/>
        <v>3</v>
      </c>
      <c r="AK111" s="5"/>
    </row>
    <row r="112" spans="1:37" ht="14.4">
      <c r="A112" s="52" t="s">
        <v>337</v>
      </c>
      <c r="B112" s="53">
        <v>45671</v>
      </c>
      <c r="C112" s="52" t="s">
        <v>120</v>
      </c>
      <c r="D112" s="52" t="s">
        <v>121</v>
      </c>
      <c r="E112" s="52" t="s">
        <v>52</v>
      </c>
      <c r="F112" s="52" t="s">
        <v>53</v>
      </c>
      <c r="G112" s="52" t="s">
        <v>19</v>
      </c>
      <c r="H112" s="52">
        <v>2</v>
      </c>
      <c r="I112" s="52">
        <v>149.99</v>
      </c>
      <c r="J112" s="52" t="s">
        <v>20</v>
      </c>
      <c r="K112" s="52" t="s">
        <v>40</v>
      </c>
      <c r="L112" s="52" t="s">
        <v>36</v>
      </c>
      <c r="M112" s="53">
        <v>44913</v>
      </c>
      <c r="N112" s="54">
        <v>299.98</v>
      </c>
      <c r="O112" s="32" t="str">
        <f t="shared" si="10"/>
        <v>Jan</v>
      </c>
      <c r="P112" s="32">
        <f t="shared" si="11"/>
        <v>2025</v>
      </c>
      <c r="Q112" s="32">
        <f t="shared" ca="1" si="12"/>
        <v>1368</v>
      </c>
      <c r="R112" s="32">
        <f t="shared" si="13"/>
        <v>45688</v>
      </c>
      <c r="S112" s="55">
        <f t="shared" ca="1" si="14"/>
        <v>46281.656764814812</v>
      </c>
      <c r="T112" s="32" t="str">
        <f t="shared" si="15"/>
        <v>Low Sale</v>
      </c>
      <c r="U112" s="73">
        <f t="shared" si="18"/>
        <v>2709.84</v>
      </c>
      <c r="V112" s="75"/>
      <c r="W112" s="3">
        <f t="shared" si="19"/>
        <v>5</v>
      </c>
      <c r="AK112" s="5"/>
    </row>
    <row r="113" spans="1:37" ht="14.4">
      <c r="A113" s="52" t="s">
        <v>338</v>
      </c>
      <c r="B113" s="53">
        <v>45671</v>
      </c>
      <c r="C113" s="52" t="s">
        <v>234</v>
      </c>
      <c r="D113" s="52" t="s">
        <v>235</v>
      </c>
      <c r="E113" s="52" t="s">
        <v>105</v>
      </c>
      <c r="F113" s="52" t="s">
        <v>106</v>
      </c>
      <c r="G113" s="52" t="s">
        <v>46</v>
      </c>
      <c r="H113" s="52">
        <v>3</v>
      </c>
      <c r="I113" s="52">
        <v>299.99</v>
      </c>
      <c r="J113" s="52" t="s">
        <v>26</v>
      </c>
      <c r="K113" s="52" t="s">
        <v>35</v>
      </c>
      <c r="L113" s="52" t="s">
        <v>22</v>
      </c>
      <c r="M113" s="53">
        <v>45204</v>
      </c>
      <c r="N113" s="54">
        <v>899.97</v>
      </c>
      <c r="O113" s="32" t="str">
        <f t="shared" si="10"/>
        <v>Jan</v>
      </c>
      <c r="P113" s="32">
        <f t="shared" si="11"/>
        <v>2025</v>
      </c>
      <c r="Q113" s="32">
        <f t="shared" ca="1" si="12"/>
        <v>1077</v>
      </c>
      <c r="R113" s="32">
        <f t="shared" si="13"/>
        <v>45688</v>
      </c>
      <c r="S113" s="55">
        <f t="shared" ca="1" si="14"/>
        <v>46281.656764814812</v>
      </c>
      <c r="T113" s="32" t="str">
        <f t="shared" si="15"/>
        <v>Low Sale</v>
      </c>
      <c r="U113" s="73">
        <f t="shared" si="18"/>
        <v>1649.92</v>
      </c>
      <c r="V113" s="75"/>
      <c r="W113" s="3">
        <f t="shared" si="19"/>
        <v>2</v>
      </c>
      <c r="AK113" s="5"/>
    </row>
    <row r="114" spans="1:37" ht="14.4">
      <c r="A114" s="52" t="s">
        <v>339</v>
      </c>
      <c r="B114" s="53">
        <v>45673</v>
      </c>
      <c r="C114" s="52" t="s">
        <v>226</v>
      </c>
      <c r="D114" s="52" t="s">
        <v>227</v>
      </c>
      <c r="E114" s="52" t="s">
        <v>126</v>
      </c>
      <c r="F114" s="52" t="s">
        <v>127</v>
      </c>
      <c r="G114" s="52" t="s">
        <v>46</v>
      </c>
      <c r="H114" s="52">
        <v>4</v>
      </c>
      <c r="I114" s="52">
        <v>199.99</v>
      </c>
      <c r="J114" s="52" t="s">
        <v>57</v>
      </c>
      <c r="K114" s="52" t="s">
        <v>35</v>
      </c>
      <c r="L114" s="52" t="s">
        <v>36</v>
      </c>
      <c r="M114" s="53">
        <v>44544</v>
      </c>
      <c r="N114" s="54">
        <v>799.96</v>
      </c>
      <c r="O114" s="32" t="str">
        <f t="shared" ref="O114:O171" si="20">TEXT(B114,"mmm")</f>
        <v>Jan</v>
      </c>
      <c r="P114" s="32">
        <f t="shared" ref="P114:P171" si="21">YEAR(B114)</f>
        <v>2025</v>
      </c>
      <c r="Q114" s="32">
        <f t="shared" ref="Q114:Q171" ca="1" si="22">DATEDIF(M114,TODAY(),"D")</f>
        <v>1737</v>
      </c>
      <c r="R114" s="32">
        <f t="shared" ref="R114:R171" si="23">EOMONTH(B114,0)</f>
        <v>45688</v>
      </c>
      <c r="S114" s="55">
        <f t="shared" ref="S114:S171" ca="1" si="24">NOW()</f>
        <v>46281.656764814812</v>
      </c>
      <c r="T114" s="32" t="str">
        <f t="shared" ref="T114:T171" si="25">IF(N114&gt;1000,"High Sale","Low Sale")</f>
        <v>Low Sale</v>
      </c>
      <c r="U114" s="73">
        <f t="shared" si="18"/>
        <v>5349.82</v>
      </c>
      <c r="V114" s="75"/>
      <c r="W114" s="3">
        <f t="shared" si="19"/>
        <v>6</v>
      </c>
      <c r="AK114" s="5"/>
    </row>
    <row r="115" spans="1:37" ht="14.4">
      <c r="A115" s="52" t="s">
        <v>340</v>
      </c>
      <c r="B115" s="53">
        <v>45673</v>
      </c>
      <c r="C115" s="52" t="s">
        <v>211</v>
      </c>
      <c r="D115" s="52" t="s">
        <v>212</v>
      </c>
      <c r="E115" s="52" t="s">
        <v>105</v>
      </c>
      <c r="F115" s="52" t="s">
        <v>106</v>
      </c>
      <c r="G115" s="52" t="s">
        <v>46</v>
      </c>
      <c r="H115" s="52">
        <v>5</v>
      </c>
      <c r="I115" s="52">
        <v>299.99</v>
      </c>
      <c r="J115" s="52" t="s">
        <v>57</v>
      </c>
      <c r="K115" s="52" t="s">
        <v>21</v>
      </c>
      <c r="L115" s="52" t="s">
        <v>22</v>
      </c>
      <c r="M115" s="53">
        <v>44431</v>
      </c>
      <c r="N115" s="54">
        <v>1499.95</v>
      </c>
      <c r="O115" s="32" t="str">
        <f t="shared" si="20"/>
        <v>Jan</v>
      </c>
      <c r="P115" s="32">
        <f t="shared" si="21"/>
        <v>2025</v>
      </c>
      <c r="Q115" s="32">
        <f t="shared" ca="1" si="22"/>
        <v>1850</v>
      </c>
      <c r="R115" s="32">
        <f t="shared" si="23"/>
        <v>45688</v>
      </c>
      <c r="S115" s="55">
        <f t="shared" ca="1" si="24"/>
        <v>46281.656764814812</v>
      </c>
      <c r="T115" s="32" t="str">
        <f t="shared" si="25"/>
        <v>High Sale</v>
      </c>
      <c r="U115" s="73">
        <f t="shared" si="18"/>
        <v>1949.9</v>
      </c>
      <c r="V115" s="75"/>
      <c r="W115" s="3">
        <f t="shared" si="19"/>
        <v>2</v>
      </c>
      <c r="AK115" s="5"/>
    </row>
    <row r="116" spans="1:37" ht="14.4">
      <c r="A116" s="52" t="s">
        <v>341</v>
      </c>
      <c r="B116" s="53">
        <v>45673</v>
      </c>
      <c r="C116" s="52" t="s">
        <v>59</v>
      </c>
      <c r="D116" s="52" t="s">
        <v>60</v>
      </c>
      <c r="E116" s="52" t="s">
        <v>44</v>
      </c>
      <c r="F116" s="52" t="s">
        <v>45</v>
      </c>
      <c r="G116" s="52" t="s">
        <v>46</v>
      </c>
      <c r="H116" s="52">
        <v>3</v>
      </c>
      <c r="I116" s="52">
        <v>149.99</v>
      </c>
      <c r="J116" s="52" t="s">
        <v>26</v>
      </c>
      <c r="K116" s="52" t="s">
        <v>63</v>
      </c>
      <c r="L116" s="52" t="s">
        <v>36</v>
      </c>
      <c r="M116" s="53">
        <v>44395</v>
      </c>
      <c r="N116" s="54">
        <v>449.97</v>
      </c>
      <c r="O116" s="32" t="str">
        <f t="shared" si="20"/>
        <v>Jan</v>
      </c>
      <c r="P116" s="32">
        <f t="shared" si="21"/>
        <v>2025</v>
      </c>
      <c r="Q116" s="32">
        <f t="shared" ca="1" si="22"/>
        <v>1886</v>
      </c>
      <c r="R116" s="32">
        <f t="shared" si="23"/>
        <v>45688</v>
      </c>
      <c r="S116" s="55">
        <f t="shared" ca="1" si="24"/>
        <v>46281.656764814812</v>
      </c>
      <c r="T116" s="32" t="str">
        <f t="shared" si="25"/>
        <v>Low Sale</v>
      </c>
      <c r="U116" s="73">
        <f t="shared" si="18"/>
        <v>3329.9199999999992</v>
      </c>
      <c r="V116" s="75"/>
      <c r="W116" s="3">
        <f t="shared" si="19"/>
        <v>4</v>
      </c>
      <c r="AK116" s="5"/>
    </row>
    <row r="117" spans="1:37" ht="14.4">
      <c r="A117" s="52" t="s">
        <v>342</v>
      </c>
      <c r="B117" s="53">
        <v>45676</v>
      </c>
      <c r="C117" s="52" t="s">
        <v>129</v>
      </c>
      <c r="D117" s="52" t="s">
        <v>130</v>
      </c>
      <c r="E117" s="52" t="s">
        <v>31</v>
      </c>
      <c r="F117" s="52" t="s">
        <v>32</v>
      </c>
      <c r="G117" s="52" t="s">
        <v>33</v>
      </c>
      <c r="H117" s="52">
        <v>5</v>
      </c>
      <c r="I117" s="52">
        <v>59.99</v>
      </c>
      <c r="J117" s="52" t="s">
        <v>57</v>
      </c>
      <c r="K117" s="52" t="s">
        <v>63</v>
      </c>
      <c r="L117" s="52" t="s">
        <v>22</v>
      </c>
      <c r="M117" s="53">
        <v>44642</v>
      </c>
      <c r="N117" s="54">
        <v>299.95</v>
      </c>
      <c r="O117" s="32" t="str">
        <f t="shared" si="20"/>
        <v>Jan</v>
      </c>
      <c r="P117" s="32">
        <f t="shared" si="21"/>
        <v>2025</v>
      </c>
      <c r="Q117" s="32">
        <f t="shared" ca="1" si="22"/>
        <v>1639</v>
      </c>
      <c r="R117" s="32">
        <f t="shared" si="23"/>
        <v>45688</v>
      </c>
      <c r="S117" s="55">
        <f t="shared" ca="1" si="24"/>
        <v>46281.656764814812</v>
      </c>
      <c r="T117" s="32" t="str">
        <f t="shared" si="25"/>
        <v>Low Sale</v>
      </c>
      <c r="U117" s="73">
        <f t="shared" si="18"/>
        <v>2039.8000000000002</v>
      </c>
      <c r="V117" s="75"/>
      <c r="W117" s="3">
        <f t="shared" si="19"/>
        <v>5</v>
      </c>
      <c r="AK117" s="5"/>
    </row>
    <row r="118" spans="1:37" ht="14.4">
      <c r="A118" s="52" t="s">
        <v>343</v>
      </c>
      <c r="B118" s="53">
        <v>45682</v>
      </c>
      <c r="C118" s="52" t="s">
        <v>68</v>
      </c>
      <c r="D118" s="52" t="s">
        <v>69</v>
      </c>
      <c r="E118" s="52" t="s">
        <v>31</v>
      </c>
      <c r="F118" s="52" t="s">
        <v>32</v>
      </c>
      <c r="G118" s="52" t="s">
        <v>33</v>
      </c>
      <c r="H118" s="52">
        <v>4</v>
      </c>
      <c r="I118" s="52">
        <v>59.99</v>
      </c>
      <c r="J118" s="52" t="s">
        <v>57</v>
      </c>
      <c r="K118" s="52" t="s">
        <v>63</v>
      </c>
      <c r="L118" s="52" t="s">
        <v>36</v>
      </c>
      <c r="M118" s="53">
        <v>44564</v>
      </c>
      <c r="N118" s="54">
        <v>239.96</v>
      </c>
      <c r="O118" s="32" t="str">
        <f t="shared" si="20"/>
        <v>Jan</v>
      </c>
      <c r="P118" s="32">
        <f t="shared" si="21"/>
        <v>2025</v>
      </c>
      <c r="Q118" s="32">
        <f t="shared" ca="1" si="22"/>
        <v>1717</v>
      </c>
      <c r="R118" s="32">
        <f t="shared" si="23"/>
        <v>45688</v>
      </c>
      <c r="S118" s="55">
        <f t="shared" ca="1" si="24"/>
        <v>46281.656764814812</v>
      </c>
      <c r="T118" s="32" t="str">
        <f t="shared" si="25"/>
        <v>Low Sale</v>
      </c>
      <c r="U118" s="73">
        <f t="shared" si="18"/>
        <v>1889.9</v>
      </c>
      <c r="V118" s="75"/>
      <c r="W118" s="3">
        <f t="shared" si="19"/>
        <v>3</v>
      </c>
      <c r="AK118" s="5"/>
    </row>
    <row r="119" spans="1:37" ht="14.4">
      <c r="A119" s="52" t="s">
        <v>344</v>
      </c>
      <c r="B119" s="53">
        <v>45683</v>
      </c>
      <c r="C119" s="52" t="s">
        <v>48</v>
      </c>
      <c r="D119" s="52" t="s">
        <v>49</v>
      </c>
      <c r="E119" s="52" t="s">
        <v>17</v>
      </c>
      <c r="F119" s="52" t="s">
        <v>18</v>
      </c>
      <c r="G119" s="52" t="s">
        <v>19</v>
      </c>
      <c r="H119" s="52">
        <v>4</v>
      </c>
      <c r="I119" s="52">
        <v>249.99</v>
      </c>
      <c r="J119" s="52" t="s">
        <v>57</v>
      </c>
      <c r="K119" s="52" t="s">
        <v>21</v>
      </c>
      <c r="L119" s="52" t="s">
        <v>27</v>
      </c>
      <c r="M119" s="53">
        <v>45217</v>
      </c>
      <c r="N119" s="54">
        <v>999.96</v>
      </c>
      <c r="O119" s="32" t="str">
        <f t="shared" si="20"/>
        <v>Jan</v>
      </c>
      <c r="P119" s="32">
        <f t="shared" si="21"/>
        <v>2025</v>
      </c>
      <c r="Q119" s="32">
        <f t="shared" ca="1" si="22"/>
        <v>1064</v>
      </c>
      <c r="R119" s="32">
        <f t="shared" si="23"/>
        <v>45688</v>
      </c>
      <c r="S119" s="55">
        <f t="shared" ca="1" si="24"/>
        <v>46281.656764814812</v>
      </c>
      <c r="T119" s="32" t="str">
        <f t="shared" si="25"/>
        <v>Low Sale</v>
      </c>
      <c r="U119" s="73">
        <f t="shared" si="18"/>
        <v>7369.82</v>
      </c>
      <c r="V119" s="75"/>
      <c r="W119" s="3">
        <f t="shared" si="19"/>
        <v>5</v>
      </c>
      <c r="AK119" s="5"/>
    </row>
    <row r="120" spans="1:37" ht="14.4">
      <c r="A120" s="52" t="s">
        <v>345</v>
      </c>
      <c r="B120" s="53">
        <v>45686</v>
      </c>
      <c r="C120" s="52" t="s">
        <v>252</v>
      </c>
      <c r="D120" s="52" t="s">
        <v>253</v>
      </c>
      <c r="E120" s="52" t="s">
        <v>61</v>
      </c>
      <c r="F120" s="52" t="s">
        <v>62</v>
      </c>
      <c r="G120" s="52" t="s">
        <v>19</v>
      </c>
      <c r="H120" s="52">
        <v>4</v>
      </c>
      <c r="I120" s="52">
        <v>899.99</v>
      </c>
      <c r="J120" s="52" t="s">
        <v>34</v>
      </c>
      <c r="K120" s="52" t="s">
        <v>21</v>
      </c>
      <c r="L120" s="52" t="s">
        <v>22</v>
      </c>
      <c r="M120" s="53">
        <v>44734</v>
      </c>
      <c r="N120" s="54">
        <v>3599.96</v>
      </c>
      <c r="O120" s="32" t="str">
        <f t="shared" si="20"/>
        <v>Jan</v>
      </c>
      <c r="P120" s="32">
        <f t="shared" si="21"/>
        <v>2025</v>
      </c>
      <c r="Q120" s="32">
        <f t="shared" ca="1" si="22"/>
        <v>1547</v>
      </c>
      <c r="R120" s="32">
        <f t="shared" si="23"/>
        <v>45688</v>
      </c>
      <c r="S120" s="55">
        <f t="shared" ca="1" si="24"/>
        <v>46281.656764814812</v>
      </c>
      <c r="T120" s="32" t="str">
        <f t="shared" si="25"/>
        <v>High Sale</v>
      </c>
      <c r="U120" s="73">
        <f t="shared" si="18"/>
        <v>4599.92</v>
      </c>
      <c r="V120" s="75"/>
      <c r="W120" s="3">
        <f t="shared" si="19"/>
        <v>2</v>
      </c>
      <c r="AK120" s="5"/>
    </row>
    <row r="121" spans="1:37" ht="14.4">
      <c r="A121" s="52" t="s">
        <v>346</v>
      </c>
      <c r="B121" s="53">
        <v>45686</v>
      </c>
      <c r="C121" s="52" t="s">
        <v>86</v>
      </c>
      <c r="D121" s="52" t="s">
        <v>87</v>
      </c>
      <c r="E121" s="52" t="s">
        <v>105</v>
      </c>
      <c r="F121" s="52" t="s">
        <v>106</v>
      </c>
      <c r="G121" s="52" t="s">
        <v>46</v>
      </c>
      <c r="H121" s="52">
        <v>3</v>
      </c>
      <c r="I121" s="52">
        <v>299.99</v>
      </c>
      <c r="J121" s="52" t="s">
        <v>57</v>
      </c>
      <c r="K121" s="52" t="s">
        <v>50</v>
      </c>
      <c r="L121" s="52" t="s">
        <v>36</v>
      </c>
      <c r="M121" s="53">
        <v>44952</v>
      </c>
      <c r="N121" s="54">
        <v>899.97</v>
      </c>
      <c r="O121" s="32" t="str">
        <f t="shared" si="20"/>
        <v>Jan</v>
      </c>
      <c r="P121" s="32">
        <f t="shared" si="21"/>
        <v>2025</v>
      </c>
      <c r="Q121" s="32">
        <f t="shared" ca="1" si="22"/>
        <v>1329</v>
      </c>
      <c r="R121" s="32">
        <f t="shared" si="23"/>
        <v>45688</v>
      </c>
      <c r="S121" s="55">
        <f t="shared" ca="1" si="24"/>
        <v>46281.656764814812</v>
      </c>
      <c r="T121" s="32" t="str">
        <f t="shared" si="25"/>
        <v>Low Sale</v>
      </c>
      <c r="U121" s="73">
        <f t="shared" si="18"/>
        <v>12399.76</v>
      </c>
      <c r="V121" s="75"/>
      <c r="W121" s="3">
        <f t="shared" si="19"/>
        <v>8</v>
      </c>
      <c r="AK121" s="5"/>
    </row>
    <row r="122" spans="1:37" ht="14.4">
      <c r="A122" s="52" t="s">
        <v>347</v>
      </c>
      <c r="B122" s="53">
        <v>45686</v>
      </c>
      <c r="C122" s="52" t="s">
        <v>293</v>
      </c>
      <c r="D122" s="52" t="s">
        <v>294</v>
      </c>
      <c r="E122" s="52" t="s">
        <v>80</v>
      </c>
      <c r="F122" s="52" t="s">
        <v>81</v>
      </c>
      <c r="G122" s="52" t="s">
        <v>19</v>
      </c>
      <c r="H122" s="52">
        <v>2</v>
      </c>
      <c r="I122" s="52">
        <v>699.99</v>
      </c>
      <c r="J122" s="52" t="s">
        <v>57</v>
      </c>
      <c r="K122" s="52" t="s">
        <v>21</v>
      </c>
      <c r="L122" s="52" t="s">
        <v>27</v>
      </c>
      <c r="M122" s="53">
        <v>44681</v>
      </c>
      <c r="N122" s="54">
        <v>1399.98</v>
      </c>
      <c r="O122" s="32" t="str">
        <f t="shared" si="20"/>
        <v>Jan</v>
      </c>
      <c r="P122" s="32">
        <f t="shared" si="21"/>
        <v>2025</v>
      </c>
      <c r="Q122" s="32">
        <f t="shared" ca="1" si="22"/>
        <v>1600</v>
      </c>
      <c r="R122" s="32">
        <f t="shared" si="23"/>
        <v>45688</v>
      </c>
      <c r="S122" s="55">
        <f t="shared" ca="1" si="24"/>
        <v>46281.656764814812</v>
      </c>
      <c r="T122" s="32" t="str">
        <f t="shared" si="25"/>
        <v>High Sale</v>
      </c>
      <c r="U122" s="73">
        <f t="shared" si="18"/>
        <v>4829.8899999999994</v>
      </c>
      <c r="V122" s="75"/>
      <c r="W122" s="3">
        <f t="shared" si="19"/>
        <v>4</v>
      </c>
      <c r="AK122" s="5"/>
    </row>
    <row r="123" spans="1:37" ht="14.4">
      <c r="A123" s="52" t="s">
        <v>348</v>
      </c>
      <c r="B123" s="53">
        <v>45688</v>
      </c>
      <c r="C123" s="52" t="s">
        <v>65</v>
      </c>
      <c r="D123" s="52" t="s">
        <v>66</v>
      </c>
      <c r="E123" s="52" t="s">
        <v>80</v>
      </c>
      <c r="F123" s="52" t="s">
        <v>81</v>
      </c>
      <c r="G123" s="52" t="s">
        <v>19</v>
      </c>
      <c r="H123" s="52">
        <v>4</v>
      </c>
      <c r="I123" s="52">
        <v>699.99</v>
      </c>
      <c r="J123" s="52" t="s">
        <v>57</v>
      </c>
      <c r="K123" s="52" t="s">
        <v>50</v>
      </c>
      <c r="L123" s="52" t="s">
        <v>27</v>
      </c>
      <c r="M123" s="53">
        <v>44692</v>
      </c>
      <c r="N123" s="54">
        <v>2799.96</v>
      </c>
      <c r="O123" s="32" t="str">
        <f t="shared" si="20"/>
        <v>Jan</v>
      </c>
      <c r="P123" s="32">
        <f t="shared" si="21"/>
        <v>2025</v>
      </c>
      <c r="Q123" s="32">
        <f t="shared" ca="1" si="22"/>
        <v>1589</v>
      </c>
      <c r="R123" s="32">
        <f t="shared" si="23"/>
        <v>45688</v>
      </c>
      <c r="S123" s="55">
        <f t="shared" ca="1" si="24"/>
        <v>46281.656764814812</v>
      </c>
      <c r="T123" s="32" t="str">
        <f t="shared" si="25"/>
        <v>High Sale</v>
      </c>
      <c r="U123" s="73">
        <f t="shared" si="18"/>
        <v>6159.8499999999995</v>
      </c>
      <c r="V123" s="75"/>
      <c r="W123" s="3">
        <f t="shared" si="19"/>
        <v>5</v>
      </c>
      <c r="AK123" s="5"/>
    </row>
    <row r="124" spans="1:37" ht="14.4">
      <c r="A124" s="52" t="s">
        <v>349</v>
      </c>
      <c r="B124" s="53">
        <v>45688</v>
      </c>
      <c r="C124" s="52" t="s">
        <v>123</v>
      </c>
      <c r="D124" s="52" t="s">
        <v>124</v>
      </c>
      <c r="E124" s="52" t="s">
        <v>117</v>
      </c>
      <c r="F124" s="52" t="s">
        <v>118</v>
      </c>
      <c r="G124" s="52" t="s">
        <v>19</v>
      </c>
      <c r="H124" s="52">
        <v>2</v>
      </c>
      <c r="I124" s="52">
        <v>89.99</v>
      </c>
      <c r="J124" s="52" t="s">
        <v>57</v>
      </c>
      <c r="K124" s="52" t="s">
        <v>35</v>
      </c>
      <c r="L124" s="52" t="s">
        <v>22</v>
      </c>
      <c r="M124" s="53">
        <v>44777</v>
      </c>
      <c r="N124" s="54">
        <v>179.98</v>
      </c>
      <c r="O124" s="32" t="str">
        <f t="shared" si="20"/>
        <v>Jan</v>
      </c>
      <c r="P124" s="32">
        <f t="shared" si="21"/>
        <v>2025</v>
      </c>
      <c r="Q124" s="32">
        <f t="shared" ca="1" si="22"/>
        <v>1504</v>
      </c>
      <c r="R124" s="32">
        <f t="shared" si="23"/>
        <v>45688</v>
      </c>
      <c r="S124" s="55">
        <f t="shared" ca="1" si="24"/>
        <v>46281.656764814812</v>
      </c>
      <c r="T124" s="32" t="str">
        <f t="shared" si="25"/>
        <v>Low Sale</v>
      </c>
      <c r="U124" s="73">
        <f t="shared" si="18"/>
        <v>7419.82</v>
      </c>
      <c r="V124" s="75"/>
      <c r="W124" s="3">
        <f t="shared" si="19"/>
        <v>5</v>
      </c>
      <c r="AK124" s="5"/>
    </row>
    <row r="125" spans="1:37" ht="14.4">
      <c r="A125" s="52" t="s">
        <v>350</v>
      </c>
      <c r="B125" s="53">
        <v>45688</v>
      </c>
      <c r="C125" s="52" t="s">
        <v>42</v>
      </c>
      <c r="D125" s="52" t="s">
        <v>43</v>
      </c>
      <c r="E125" s="52" t="s">
        <v>117</v>
      </c>
      <c r="F125" s="52" t="s">
        <v>118</v>
      </c>
      <c r="G125" s="52" t="s">
        <v>19</v>
      </c>
      <c r="H125" s="52">
        <v>3</v>
      </c>
      <c r="I125" s="52">
        <v>89.99</v>
      </c>
      <c r="J125" s="52" t="s">
        <v>57</v>
      </c>
      <c r="K125" s="52" t="s">
        <v>35</v>
      </c>
      <c r="L125" s="52" t="s">
        <v>27</v>
      </c>
      <c r="M125" s="53">
        <v>45307</v>
      </c>
      <c r="N125" s="54">
        <v>269.97000000000003</v>
      </c>
      <c r="O125" s="32" t="str">
        <f t="shared" si="20"/>
        <v>Jan</v>
      </c>
      <c r="P125" s="32">
        <f t="shared" si="21"/>
        <v>2025</v>
      </c>
      <c r="Q125" s="32">
        <f t="shared" ca="1" si="22"/>
        <v>974</v>
      </c>
      <c r="R125" s="32">
        <f t="shared" si="23"/>
        <v>45688</v>
      </c>
      <c r="S125" s="55">
        <f t="shared" ca="1" si="24"/>
        <v>46281.656764814812</v>
      </c>
      <c r="T125" s="32" t="str">
        <f t="shared" si="25"/>
        <v>Low Sale</v>
      </c>
      <c r="U125" s="73">
        <f t="shared" si="18"/>
        <v>3569.8</v>
      </c>
      <c r="V125" s="75"/>
      <c r="W125" s="3">
        <f t="shared" si="19"/>
        <v>7</v>
      </c>
      <c r="AK125" s="5"/>
    </row>
    <row r="126" spans="1:37" ht="14.4">
      <c r="A126" s="52" t="s">
        <v>351</v>
      </c>
      <c r="B126" s="53">
        <v>45692</v>
      </c>
      <c r="C126" s="52" t="s">
        <v>325</v>
      </c>
      <c r="D126" s="52" t="s">
        <v>326</v>
      </c>
      <c r="E126" s="52" t="s">
        <v>31</v>
      </c>
      <c r="F126" s="52" t="s">
        <v>32</v>
      </c>
      <c r="G126" s="52" t="s">
        <v>33</v>
      </c>
      <c r="H126" s="52">
        <v>1</v>
      </c>
      <c r="I126" s="52">
        <v>59.99</v>
      </c>
      <c r="J126" s="52" t="s">
        <v>57</v>
      </c>
      <c r="K126" s="52" t="s">
        <v>21</v>
      </c>
      <c r="L126" s="52" t="s">
        <v>36</v>
      </c>
      <c r="M126" s="53">
        <v>45045</v>
      </c>
      <c r="N126" s="54">
        <v>59.99</v>
      </c>
      <c r="O126" s="32" t="str">
        <f t="shared" si="20"/>
        <v>Feb</v>
      </c>
      <c r="P126" s="32">
        <f t="shared" si="21"/>
        <v>2025</v>
      </c>
      <c r="Q126" s="32">
        <f t="shared" ca="1" si="22"/>
        <v>1236</v>
      </c>
      <c r="R126" s="32">
        <f t="shared" si="23"/>
        <v>45716</v>
      </c>
      <c r="S126" s="55">
        <f t="shared" ca="1" si="24"/>
        <v>46281.656764814812</v>
      </c>
      <c r="T126" s="32" t="str">
        <f t="shared" si="25"/>
        <v>Low Sale</v>
      </c>
      <c r="U126" s="73">
        <f t="shared" si="18"/>
        <v>1559.94</v>
      </c>
      <c r="V126" s="75"/>
      <c r="W126" s="3">
        <f t="shared" si="19"/>
        <v>3</v>
      </c>
      <c r="AK126" s="5"/>
    </row>
    <row r="127" spans="1:37" ht="14.4">
      <c r="A127" s="52" t="s">
        <v>352</v>
      </c>
      <c r="B127" s="53">
        <v>45695</v>
      </c>
      <c r="C127" s="52" t="s">
        <v>246</v>
      </c>
      <c r="D127" s="52" t="s">
        <v>247</v>
      </c>
      <c r="E127" s="52" t="s">
        <v>44</v>
      </c>
      <c r="F127" s="52" t="s">
        <v>45</v>
      </c>
      <c r="G127" s="52" t="s">
        <v>46</v>
      </c>
      <c r="H127" s="52">
        <v>3</v>
      </c>
      <c r="I127" s="52">
        <v>149.99</v>
      </c>
      <c r="J127" s="52" t="s">
        <v>57</v>
      </c>
      <c r="K127" s="52" t="s">
        <v>40</v>
      </c>
      <c r="L127" s="52" t="s">
        <v>27</v>
      </c>
      <c r="M127" s="53">
        <v>44564</v>
      </c>
      <c r="N127" s="54">
        <v>449.97</v>
      </c>
      <c r="O127" s="32" t="str">
        <f t="shared" si="20"/>
        <v>Feb</v>
      </c>
      <c r="P127" s="32">
        <f t="shared" si="21"/>
        <v>2025</v>
      </c>
      <c r="Q127" s="32">
        <f t="shared" ca="1" si="22"/>
        <v>1717</v>
      </c>
      <c r="R127" s="32">
        <f t="shared" si="23"/>
        <v>45716</v>
      </c>
      <c r="S127" s="55">
        <f t="shared" ca="1" si="24"/>
        <v>46281.656764814812</v>
      </c>
      <c r="T127" s="32" t="str">
        <f t="shared" si="25"/>
        <v>Low Sale</v>
      </c>
      <c r="U127" s="73">
        <f t="shared" si="18"/>
        <v>1149.96</v>
      </c>
      <c r="V127" s="75"/>
      <c r="W127" s="3">
        <f t="shared" si="19"/>
        <v>2</v>
      </c>
      <c r="AK127" s="5"/>
    </row>
    <row r="128" spans="1:37" ht="14.4">
      <c r="A128" s="52" t="s">
        <v>353</v>
      </c>
      <c r="B128" s="53">
        <v>45695</v>
      </c>
      <c r="C128" s="52" t="s">
        <v>93</v>
      </c>
      <c r="D128" s="52" t="s">
        <v>94</v>
      </c>
      <c r="E128" s="52" t="s">
        <v>105</v>
      </c>
      <c r="F128" s="52" t="s">
        <v>106</v>
      </c>
      <c r="G128" s="52" t="s">
        <v>46</v>
      </c>
      <c r="H128" s="52">
        <v>5</v>
      </c>
      <c r="I128" s="52">
        <v>299.99</v>
      </c>
      <c r="J128" s="52" t="s">
        <v>26</v>
      </c>
      <c r="K128" s="52" t="s">
        <v>35</v>
      </c>
      <c r="L128" s="52" t="s">
        <v>22</v>
      </c>
      <c r="M128" s="53">
        <v>44959</v>
      </c>
      <c r="N128" s="54">
        <v>1499.95</v>
      </c>
      <c r="O128" s="32" t="str">
        <f t="shared" si="20"/>
        <v>Feb</v>
      </c>
      <c r="P128" s="32">
        <f t="shared" si="21"/>
        <v>2025</v>
      </c>
      <c r="Q128" s="32">
        <f t="shared" ca="1" si="22"/>
        <v>1322</v>
      </c>
      <c r="R128" s="32">
        <f t="shared" si="23"/>
        <v>45716</v>
      </c>
      <c r="S128" s="55">
        <f t="shared" ca="1" si="24"/>
        <v>46281.656764814812</v>
      </c>
      <c r="T128" s="32" t="str">
        <f t="shared" si="25"/>
        <v>High Sale</v>
      </c>
      <c r="U128" s="73">
        <f t="shared" si="18"/>
        <v>4789.7900000000009</v>
      </c>
      <c r="V128" s="75"/>
      <c r="W128" s="3">
        <f t="shared" si="19"/>
        <v>6</v>
      </c>
      <c r="AK128" s="5"/>
    </row>
    <row r="129" spans="1:37" ht="14.4">
      <c r="A129" s="52" t="s">
        <v>354</v>
      </c>
      <c r="B129" s="53">
        <v>45696</v>
      </c>
      <c r="C129" s="52" t="s">
        <v>150</v>
      </c>
      <c r="D129" s="52" t="s">
        <v>151</v>
      </c>
      <c r="E129" s="52" t="s">
        <v>31</v>
      </c>
      <c r="F129" s="52" t="s">
        <v>32</v>
      </c>
      <c r="G129" s="52" t="s">
        <v>33</v>
      </c>
      <c r="H129" s="52">
        <v>5</v>
      </c>
      <c r="I129" s="52">
        <v>59.99</v>
      </c>
      <c r="J129" s="52" t="s">
        <v>57</v>
      </c>
      <c r="K129" s="52" t="s">
        <v>21</v>
      </c>
      <c r="L129" s="52" t="s">
        <v>36</v>
      </c>
      <c r="M129" s="53">
        <v>45177</v>
      </c>
      <c r="N129" s="54">
        <v>299.95</v>
      </c>
      <c r="O129" s="32" t="str">
        <f t="shared" si="20"/>
        <v>Feb</v>
      </c>
      <c r="P129" s="32">
        <f t="shared" si="21"/>
        <v>2025</v>
      </c>
      <c r="Q129" s="32">
        <f t="shared" ca="1" si="22"/>
        <v>1104</v>
      </c>
      <c r="R129" s="32">
        <f t="shared" si="23"/>
        <v>45716</v>
      </c>
      <c r="S129" s="55">
        <f t="shared" ca="1" si="24"/>
        <v>46281.656764814812</v>
      </c>
      <c r="T129" s="32" t="str">
        <f t="shared" si="25"/>
        <v>Low Sale</v>
      </c>
      <c r="U129" s="73">
        <f t="shared" si="18"/>
        <v>3819.89</v>
      </c>
      <c r="V129" s="75"/>
      <c r="W129" s="3">
        <f t="shared" si="19"/>
        <v>4</v>
      </c>
      <c r="AK129" s="5"/>
    </row>
    <row r="130" spans="1:37" ht="14.4">
      <c r="A130" s="52" t="s">
        <v>355</v>
      </c>
      <c r="B130" s="53">
        <v>45701</v>
      </c>
      <c r="C130" s="52" t="s">
        <v>108</v>
      </c>
      <c r="D130" s="52" t="s">
        <v>109</v>
      </c>
      <c r="E130" s="52" t="s">
        <v>114</v>
      </c>
      <c r="F130" s="52" t="s">
        <v>115</v>
      </c>
      <c r="G130" s="52" t="s">
        <v>33</v>
      </c>
      <c r="H130" s="52">
        <v>3</v>
      </c>
      <c r="I130" s="52">
        <v>79.989999999999995</v>
      </c>
      <c r="J130" s="52" t="s">
        <v>20</v>
      </c>
      <c r="K130" s="52" t="s">
        <v>63</v>
      </c>
      <c r="L130" s="52" t="s">
        <v>27</v>
      </c>
      <c r="M130" s="53">
        <v>44436</v>
      </c>
      <c r="N130" s="54">
        <v>239.97</v>
      </c>
      <c r="O130" s="32" t="str">
        <f t="shared" si="20"/>
        <v>Feb</v>
      </c>
      <c r="P130" s="32">
        <f t="shared" si="21"/>
        <v>2025</v>
      </c>
      <c r="Q130" s="32">
        <f t="shared" ca="1" si="22"/>
        <v>1845</v>
      </c>
      <c r="R130" s="32">
        <f t="shared" si="23"/>
        <v>45716</v>
      </c>
      <c r="S130" s="55">
        <f t="shared" ca="1" si="24"/>
        <v>46281.656764814812</v>
      </c>
      <c r="T130" s="32" t="str">
        <f t="shared" si="25"/>
        <v>Low Sale</v>
      </c>
      <c r="U130" s="73">
        <f t="shared" ref="U130:U161" si="26">SUMIFS($N:$N, $D:$D, D130)</f>
        <v>3739.7999999999997</v>
      </c>
      <c r="V130" s="75"/>
      <c r="W130" s="3">
        <f t="shared" ref="W130:W161" si="27">COUNTIF($D$2:$D$171,D130)</f>
        <v>5</v>
      </c>
      <c r="AK130" s="5"/>
    </row>
    <row r="131" spans="1:37" ht="14.4">
      <c r="A131" s="52" t="s">
        <v>356</v>
      </c>
      <c r="B131" s="53">
        <v>45704</v>
      </c>
      <c r="C131" s="52" t="s">
        <v>29</v>
      </c>
      <c r="D131" s="52" t="s">
        <v>30</v>
      </c>
      <c r="E131" s="52" t="s">
        <v>126</v>
      </c>
      <c r="F131" s="52" t="s">
        <v>127</v>
      </c>
      <c r="G131" s="52" t="s">
        <v>46</v>
      </c>
      <c r="H131" s="52">
        <v>3</v>
      </c>
      <c r="I131" s="52">
        <v>199.99</v>
      </c>
      <c r="J131" s="52" t="s">
        <v>20</v>
      </c>
      <c r="K131" s="52" t="s">
        <v>21</v>
      </c>
      <c r="L131" s="52" t="s">
        <v>22</v>
      </c>
      <c r="M131" s="53">
        <v>44735</v>
      </c>
      <c r="N131" s="54">
        <v>599.97</v>
      </c>
      <c r="O131" s="32" t="str">
        <f t="shared" si="20"/>
        <v>Feb</v>
      </c>
      <c r="P131" s="32">
        <f t="shared" si="21"/>
        <v>2025</v>
      </c>
      <c r="Q131" s="32">
        <f t="shared" ca="1" si="22"/>
        <v>1546</v>
      </c>
      <c r="R131" s="32">
        <f t="shared" si="23"/>
        <v>45716</v>
      </c>
      <c r="S131" s="55">
        <f t="shared" ca="1" si="24"/>
        <v>46281.656764814812</v>
      </c>
      <c r="T131" s="32" t="str">
        <f t="shared" si="25"/>
        <v>Low Sale</v>
      </c>
      <c r="U131" s="73">
        <f t="shared" si="26"/>
        <v>3179.88</v>
      </c>
      <c r="V131" s="75"/>
      <c r="W131" s="3">
        <f t="shared" si="27"/>
        <v>5</v>
      </c>
      <c r="AK131" s="5"/>
    </row>
    <row r="132" spans="1:37" ht="14.4">
      <c r="A132" s="52" t="s">
        <v>357</v>
      </c>
      <c r="B132" s="53">
        <v>45704</v>
      </c>
      <c r="C132" s="52" t="s">
        <v>15</v>
      </c>
      <c r="D132" s="52" t="s">
        <v>16</v>
      </c>
      <c r="E132" s="52" t="s">
        <v>117</v>
      </c>
      <c r="F132" s="52" t="s">
        <v>118</v>
      </c>
      <c r="G132" s="52" t="s">
        <v>19</v>
      </c>
      <c r="H132" s="52">
        <v>2</v>
      </c>
      <c r="I132" s="52">
        <v>89.99</v>
      </c>
      <c r="J132" s="52" t="s">
        <v>34</v>
      </c>
      <c r="K132" s="52" t="s">
        <v>21</v>
      </c>
      <c r="L132" s="52" t="s">
        <v>22</v>
      </c>
      <c r="M132" s="53">
        <v>45257</v>
      </c>
      <c r="N132" s="54">
        <v>179.98</v>
      </c>
      <c r="O132" s="32" t="str">
        <f t="shared" si="20"/>
        <v>Feb</v>
      </c>
      <c r="P132" s="32">
        <f t="shared" si="21"/>
        <v>2025</v>
      </c>
      <c r="Q132" s="32">
        <f t="shared" ca="1" si="22"/>
        <v>1024</v>
      </c>
      <c r="R132" s="32">
        <f t="shared" si="23"/>
        <v>45716</v>
      </c>
      <c r="S132" s="55">
        <f t="shared" ca="1" si="24"/>
        <v>46281.656764814812</v>
      </c>
      <c r="T132" s="32" t="str">
        <f t="shared" si="25"/>
        <v>Low Sale</v>
      </c>
      <c r="U132" s="73">
        <f t="shared" si="26"/>
        <v>8059.7499999999991</v>
      </c>
      <c r="V132" s="75"/>
      <c r="W132" s="3">
        <f t="shared" si="27"/>
        <v>7</v>
      </c>
      <c r="AK132" s="5"/>
    </row>
    <row r="133" spans="1:37" ht="14.4">
      <c r="A133" s="52" t="s">
        <v>358</v>
      </c>
      <c r="B133" s="53">
        <v>45705</v>
      </c>
      <c r="C133" s="52" t="s">
        <v>259</v>
      </c>
      <c r="D133" s="52" t="s">
        <v>260</v>
      </c>
      <c r="E133" s="52" t="s">
        <v>44</v>
      </c>
      <c r="F133" s="52" t="s">
        <v>45</v>
      </c>
      <c r="G133" s="52" t="s">
        <v>46</v>
      </c>
      <c r="H133" s="52">
        <v>2</v>
      </c>
      <c r="I133" s="52">
        <v>149.99</v>
      </c>
      <c r="J133" s="52" t="s">
        <v>20</v>
      </c>
      <c r="K133" s="52" t="s">
        <v>35</v>
      </c>
      <c r="L133" s="52" t="s">
        <v>27</v>
      </c>
      <c r="M133" s="53">
        <v>44728</v>
      </c>
      <c r="N133" s="54">
        <v>299.98</v>
      </c>
      <c r="O133" s="32" t="str">
        <f t="shared" si="20"/>
        <v>Feb</v>
      </c>
      <c r="P133" s="32">
        <f t="shared" si="21"/>
        <v>2025</v>
      </c>
      <c r="Q133" s="32">
        <f t="shared" ca="1" si="22"/>
        <v>1553</v>
      </c>
      <c r="R133" s="32">
        <f t="shared" si="23"/>
        <v>45716</v>
      </c>
      <c r="S133" s="55">
        <f t="shared" ca="1" si="24"/>
        <v>46281.656764814812</v>
      </c>
      <c r="T133" s="32" t="str">
        <f t="shared" si="25"/>
        <v>Low Sale</v>
      </c>
      <c r="U133" s="73">
        <f t="shared" si="26"/>
        <v>539.94000000000005</v>
      </c>
      <c r="V133" s="75"/>
      <c r="W133" s="3">
        <f t="shared" si="27"/>
        <v>2</v>
      </c>
      <c r="AK133" s="5"/>
    </row>
    <row r="134" spans="1:37" ht="14.4">
      <c r="A134" s="52" t="s">
        <v>359</v>
      </c>
      <c r="B134" s="53">
        <v>45707</v>
      </c>
      <c r="C134" s="52" t="s">
        <v>123</v>
      </c>
      <c r="D134" s="52" t="s">
        <v>124</v>
      </c>
      <c r="E134" s="52" t="s">
        <v>80</v>
      </c>
      <c r="F134" s="52" t="s">
        <v>81</v>
      </c>
      <c r="G134" s="52" t="s">
        <v>19</v>
      </c>
      <c r="H134" s="52">
        <v>5</v>
      </c>
      <c r="I134" s="52">
        <v>699.99</v>
      </c>
      <c r="J134" s="52" t="s">
        <v>34</v>
      </c>
      <c r="K134" s="52" t="s">
        <v>35</v>
      </c>
      <c r="L134" s="52" t="s">
        <v>27</v>
      </c>
      <c r="M134" s="53">
        <v>45352</v>
      </c>
      <c r="N134" s="54">
        <v>3499.95</v>
      </c>
      <c r="O134" s="32" t="str">
        <f t="shared" si="20"/>
        <v>Feb</v>
      </c>
      <c r="P134" s="32">
        <f t="shared" si="21"/>
        <v>2025</v>
      </c>
      <c r="Q134" s="32">
        <f t="shared" ca="1" si="22"/>
        <v>929</v>
      </c>
      <c r="R134" s="32">
        <f t="shared" si="23"/>
        <v>45716</v>
      </c>
      <c r="S134" s="55">
        <f t="shared" ca="1" si="24"/>
        <v>46281.656764814812</v>
      </c>
      <c r="T134" s="32" t="str">
        <f t="shared" si="25"/>
        <v>High Sale</v>
      </c>
      <c r="U134" s="73">
        <f t="shared" si="26"/>
        <v>7419.82</v>
      </c>
      <c r="V134" s="75"/>
      <c r="W134" s="3">
        <f t="shared" si="27"/>
        <v>5</v>
      </c>
      <c r="AK134" s="5"/>
    </row>
    <row r="135" spans="1:37" ht="14.4">
      <c r="A135" s="52" t="s">
        <v>360</v>
      </c>
      <c r="B135" s="53">
        <v>45707</v>
      </c>
      <c r="C135" s="52" t="s">
        <v>42</v>
      </c>
      <c r="D135" s="52" t="s">
        <v>43</v>
      </c>
      <c r="E135" s="52" t="s">
        <v>44</v>
      </c>
      <c r="F135" s="52" t="s">
        <v>45</v>
      </c>
      <c r="G135" s="52" t="s">
        <v>46</v>
      </c>
      <c r="H135" s="52">
        <v>3</v>
      </c>
      <c r="I135" s="52">
        <v>149.99</v>
      </c>
      <c r="J135" s="52" t="s">
        <v>34</v>
      </c>
      <c r="K135" s="52" t="s">
        <v>21</v>
      </c>
      <c r="L135" s="52" t="s">
        <v>36</v>
      </c>
      <c r="M135" s="53">
        <v>44633</v>
      </c>
      <c r="N135" s="54">
        <v>449.97</v>
      </c>
      <c r="O135" s="32" t="str">
        <f t="shared" si="20"/>
        <v>Feb</v>
      </c>
      <c r="P135" s="32">
        <f t="shared" si="21"/>
        <v>2025</v>
      </c>
      <c r="Q135" s="32">
        <f t="shared" ca="1" si="22"/>
        <v>1648</v>
      </c>
      <c r="R135" s="32">
        <f t="shared" si="23"/>
        <v>45716</v>
      </c>
      <c r="S135" s="55">
        <f t="shared" ca="1" si="24"/>
        <v>46281.656764814812</v>
      </c>
      <c r="T135" s="32" t="str">
        <f t="shared" si="25"/>
        <v>Low Sale</v>
      </c>
      <c r="U135" s="73">
        <f t="shared" si="26"/>
        <v>3569.8</v>
      </c>
      <c r="V135" s="75"/>
      <c r="W135" s="3">
        <f t="shared" si="27"/>
        <v>7</v>
      </c>
      <c r="AK135" s="5"/>
    </row>
    <row r="136" spans="1:37" ht="14.4">
      <c r="A136" s="52" t="s">
        <v>361</v>
      </c>
      <c r="B136" s="53">
        <v>45708</v>
      </c>
      <c r="C136" s="52" t="s">
        <v>96</v>
      </c>
      <c r="D136" s="52" t="s">
        <v>97</v>
      </c>
      <c r="E136" s="52" t="s">
        <v>61</v>
      </c>
      <c r="F136" s="52" t="s">
        <v>62</v>
      </c>
      <c r="G136" s="52" t="s">
        <v>19</v>
      </c>
      <c r="H136" s="52">
        <v>3</v>
      </c>
      <c r="I136" s="52">
        <v>899.99</v>
      </c>
      <c r="J136" s="52" t="s">
        <v>20</v>
      </c>
      <c r="K136" s="52" t="s">
        <v>63</v>
      </c>
      <c r="L136" s="52" t="s">
        <v>36</v>
      </c>
      <c r="M136" s="53">
        <v>44613</v>
      </c>
      <c r="N136" s="54">
        <v>2699.97</v>
      </c>
      <c r="O136" s="32" t="str">
        <f t="shared" si="20"/>
        <v>Feb</v>
      </c>
      <c r="P136" s="32">
        <f t="shared" si="21"/>
        <v>2025</v>
      </c>
      <c r="Q136" s="32">
        <f t="shared" ca="1" si="22"/>
        <v>1668</v>
      </c>
      <c r="R136" s="32">
        <f t="shared" si="23"/>
        <v>45716</v>
      </c>
      <c r="S136" s="55">
        <f t="shared" ca="1" si="24"/>
        <v>46281.656764814812</v>
      </c>
      <c r="T136" s="32" t="str">
        <f t="shared" si="25"/>
        <v>High Sale</v>
      </c>
      <c r="U136" s="73">
        <f t="shared" si="26"/>
        <v>6199.92</v>
      </c>
      <c r="V136" s="75"/>
      <c r="W136" s="3">
        <f t="shared" si="27"/>
        <v>2</v>
      </c>
      <c r="AK136" s="5"/>
    </row>
    <row r="137" spans="1:37" ht="14.4">
      <c r="A137" s="52" t="s">
        <v>362</v>
      </c>
      <c r="B137" s="53">
        <v>45708</v>
      </c>
      <c r="C137" s="52" t="s">
        <v>192</v>
      </c>
      <c r="D137" s="52" t="s">
        <v>193</v>
      </c>
      <c r="E137" s="52" t="s">
        <v>126</v>
      </c>
      <c r="F137" s="52" t="s">
        <v>127</v>
      </c>
      <c r="G137" s="52" t="s">
        <v>46</v>
      </c>
      <c r="H137" s="52">
        <v>3</v>
      </c>
      <c r="I137" s="52">
        <v>199.99</v>
      </c>
      <c r="J137" s="52" t="s">
        <v>20</v>
      </c>
      <c r="K137" s="52" t="s">
        <v>50</v>
      </c>
      <c r="L137" s="52" t="s">
        <v>27</v>
      </c>
      <c r="M137" s="53">
        <v>44823</v>
      </c>
      <c r="N137" s="54">
        <v>599.97</v>
      </c>
      <c r="O137" s="32" t="str">
        <f t="shared" si="20"/>
        <v>Feb</v>
      </c>
      <c r="P137" s="32">
        <f t="shared" si="21"/>
        <v>2025</v>
      </c>
      <c r="Q137" s="32">
        <f t="shared" ca="1" si="22"/>
        <v>1458</v>
      </c>
      <c r="R137" s="32">
        <f t="shared" si="23"/>
        <v>45716</v>
      </c>
      <c r="S137" s="55">
        <f t="shared" ca="1" si="24"/>
        <v>46281.656764814812</v>
      </c>
      <c r="T137" s="32" t="str">
        <f t="shared" si="25"/>
        <v>Low Sale</v>
      </c>
      <c r="U137" s="73">
        <f t="shared" si="26"/>
        <v>779.94</v>
      </c>
      <c r="V137" s="75"/>
      <c r="W137" s="3">
        <f t="shared" si="27"/>
        <v>3</v>
      </c>
      <c r="AK137" s="5"/>
    </row>
    <row r="138" spans="1:37" ht="14.4">
      <c r="A138" s="52" t="s">
        <v>363</v>
      </c>
      <c r="B138" s="53">
        <v>45710</v>
      </c>
      <c r="C138" s="52" t="s">
        <v>55</v>
      </c>
      <c r="D138" s="52" t="s">
        <v>56</v>
      </c>
      <c r="E138" s="52" t="s">
        <v>105</v>
      </c>
      <c r="F138" s="52" t="s">
        <v>106</v>
      </c>
      <c r="G138" s="52" t="s">
        <v>46</v>
      </c>
      <c r="H138" s="52">
        <v>5</v>
      </c>
      <c r="I138" s="52">
        <v>299.99</v>
      </c>
      <c r="J138" s="52" t="s">
        <v>20</v>
      </c>
      <c r="K138" s="52" t="s">
        <v>50</v>
      </c>
      <c r="L138" s="52" t="s">
        <v>36</v>
      </c>
      <c r="M138" s="53">
        <v>45142</v>
      </c>
      <c r="N138" s="54">
        <v>1499.95</v>
      </c>
      <c r="O138" s="32" t="str">
        <f t="shared" si="20"/>
        <v>Feb</v>
      </c>
      <c r="P138" s="32">
        <f t="shared" si="21"/>
        <v>2025</v>
      </c>
      <c r="Q138" s="32">
        <f t="shared" ca="1" si="22"/>
        <v>1139</v>
      </c>
      <c r="R138" s="32">
        <f t="shared" si="23"/>
        <v>45716</v>
      </c>
      <c r="S138" s="55">
        <f t="shared" ca="1" si="24"/>
        <v>46281.656764814812</v>
      </c>
      <c r="T138" s="32" t="str">
        <f t="shared" si="25"/>
        <v>High Sale</v>
      </c>
      <c r="U138" s="73">
        <f t="shared" si="26"/>
        <v>4919.7500000000009</v>
      </c>
      <c r="V138" s="75"/>
      <c r="W138" s="3">
        <f t="shared" si="27"/>
        <v>7</v>
      </c>
      <c r="AK138" s="5"/>
    </row>
    <row r="139" spans="1:37" ht="14.4">
      <c r="A139" s="52" t="s">
        <v>364</v>
      </c>
      <c r="B139" s="53">
        <v>45710</v>
      </c>
      <c r="C139" s="52" t="s">
        <v>150</v>
      </c>
      <c r="D139" s="52" t="s">
        <v>151</v>
      </c>
      <c r="E139" s="52" t="s">
        <v>80</v>
      </c>
      <c r="F139" s="52" t="s">
        <v>81</v>
      </c>
      <c r="G139" s="52" t="s">
        <v>19</v>
      </c>
      <c r="H139" s="52">
        <v>1</v>
      </c>
      <c r="I139" s="52">
        <v>699.99</v>
      </c>
      <c r="J139" s="52" t="s">
        <v>34</v>
      </c>
      <c r="K139" s="52" t="s">
        <v>50</v>
      </c>
      <c r="L139" s="52" t="s">
        <v>22</v>
      </c>
      <c r="M139" s="53">
        <v>44934</v>
      </c>
      <c r="N139" s="54">
        <v>699.99</v>
      </c>
      <c r="O139" s="32" t="str">
        <f t="shared" si="20"/>
        <v>Feb</v>
      </c>
      <c r="P139" s="32">
        <f t="shared" si="21"/>
        <v>2025</v>
      </c>
      <c r="Q139" s="32">
        <f t="shared" ca="1" si="22"/>
        <v>1347</v>
      </c>
      <c r="R139" s="32">
        <f t="shared" si="23"/>
        <v>45716</v>
      </c>
      <c r="S139" s="55">
        <f t="shared" ca="1" si="24"/>
        <v>46281.656764814812</v>
      </c>
      <c r="T139" s="32" t="str">
        <f t="shared" si="25"/>
        <v>Low Sale</v>
      </c>
      <c r="U139" s="73">
        <f t="shared" si="26"/>
        <v>3819.89</v>
      </c>
      <c r="V139" s="75"/>
      <c r="W139" s="3">
        <f t="shared" si="27"/>
        <v>4</v>
      </c>
      <c r="AK139" s="5"/>
    </row>
    <row r="140" spans="1:37" ht="14.4">
      <c r="A140" s="52" t="s">
        <v>365</v>
      </c>
      <c r="B140" s="53">
        <v>45711</v>
      </c>
      <c r="C140" s="52" t="s">
        <v>246</v>
      </c>
      <c r="D140" s="52" t="s">
        <v>247</v>
      </c>
      <c r="E140" s="52" t="s">
        <v>80</v>
      </c>
      <c r="F140" s="52" t="s">
        <v>81</v>
      </c>
      <c r="G140" s="52" t="s">
        <v>19</v>
      </c>
      <c r="H140" s="52">
        <v>1</v>
      </c>
      <c r="I140" s="52">
        <v>699.99</v>
      </c>
      <c r="J140" s="52" t="s">
        <v>20</v>
      </c>
      <c r="K140" s="52" t="s">
        <v>40</v>
      </c>
      <c r="L140" s="52" t="s">
        <v>27</v>
      </c>
      <c r="M140" s="53">
        <v>44583</v>
      </c>
      <c r="N140" s="54">
        <v>699.99</v>
      </c>
      <c r="O140" s="32" t="str">
        <f t="shared" si="20"/>
        <v>Feb</v>
      </c>
      <c r="P140" s="32">
        <f t="shared" si="21"/>
        <v>2025</v>
      </c>
      <c r="Q140" s="32">
        <f t="shared" ca="1" si="22"/>
        <v>1698</v>
      </c>
      <c r="R140" s="32">
        <f t="shared" si="23"/>
        <v>45716</v>
      </c>
      <c r="S140" s="55">
        <f t="shared" ca="1" si="24"/>
        <v>46281.656764814812</v>
      </c>
      <c r="T140" s="32" t="str">
        <f t="shared" si="25"/>
        <v>Low Sale</v>
      </c>
      <c r="U140" s="73">
        <f t="shared" si="26"/>
        <v>1149.96</v>
      </c>
      <c r="V140" s="75"/>
      <c r="W140" s="3">
        <f t="shared" si="27"/>
        <v>2</v>
      </c>
      <c r="AK140" s="5"/>
    </row>
    <row r="141" spans="1:37" ht="14.4">
      <c r="A141" s="52" t="s">
        <v>366</v>
      </c>
      <c r="B141" s="53">
        <v>45711</v>
      </c>
      <c r="C141" s="52" t="s">
        <v>325</v>
      </c>
      <c r="D141" s="52" t="s">
        <v>326</v>
      </c>
      <c r="E141" s="52" t="s">
        <v>44</v>
      </c>
      <c r="F141" s="52" t="s">
        <v>45</v>
      </c>
      <c r="G141" s="52" t="s">
        <v>46</v>
      </c>
      <c r="H141" s="52">
        <v>4</v>
      </c>
      <c r="I141" s="52">
        <v>149.99</v>
      </c>
      <c r="J141" s="52" t="s">
        <v>34</v>
      </c>
      <c r="K141" s="52" t="s">
        <v>40</v>
      </c>
      <c r="L141" s="52" t="s">
        <v>27</v>
      </c>
      <c r="M141" s="53">
        <v>44412</v>
      </c>
      <c r="N141" s="54">
        <v>599.96</v>
      </c>
      <c r="O141" s="32" t="str">
        <f t="shared" si="20"/>
        <v>Feb</v>
      </c>
      <c r="P141" s="32">
        <f t="shared" si="21"/>
        <v>2025</v>
      </c>
      <c r="Q141" s="32">
        <f t="shared" ca="1" si="22"/>
        <v>1869</v>
      </c>
      <c r="R141" s="32">
        <f t="shared" si="23"/>
        <v>45716</v>
      </c>
      <c r="S141" s="55">
        <f t="shared" ca="1" si="24"/>
        <v>46281.656764814812</v>
      </c>
      <c r="T141" s="32" t="str">
        <f t="shared" si="25"/>
        <v>Low Sale</v>
      </c>
      <c r="U141" s="73">
        <f t="shared" si="26"/>
        <v>1559.94</v>
      </c>
      <c r="V141" s="75"/>
      <c r="W141" s="3">
        <f t="shared" si="27"/>
        <v>3</v>
      </c>
      <c r="AK141" s="5"/>
    </row>
    <row r="142" spans="1:37" ht="14.4">
      <c r="A142" s="52" t="s">
        <v>367</v>
      </c>
      <c r="B142" s="53">
        <v>45711</v>
      </c>
      <c r="C142" s="52" t="s">
        <v>211</v>
      </c>
      <c r="D142" s="52" t="s">
        <v>212</v>
      </c>
      <c r="E142" s="52" t="s">
        <v>117</v>
      </c>
      <c r="F142" s="52" t="s">
        <v>118</v>
      </c>
      <c r="G142" s="52" t="s">
        <v>19</v>
      </c>
      <c r="H142" s="52">
        <v>5</v>
      </c>
      <c r="I142" s="52">
        <v>89.99</v>
      </c>
      <c r="J142" s="52" t="s">
        <v>34</v>
      </c>
      <c r="K142" s="52" t="s">
        <v>50</v>
      </c>
      <c r="L142" s="52" t="s">
        <v>27</v>
      </c>
      <c r="M142" s="53">
        <v>45140</v>
      </c>
      <c r="N142" s="54">
        <v>449.95</v>
      </c>
      <c r="O142" s="32" t="str">
        <f t="shared" si="20"/>
        <v>Feb</v>
      </c>
      <c r="P142" s="32">
        <f t="shared" si="21"/>
        <v>2025</v>
      </c>
      <c r="Q142" s="32">
        <f t="shared" ca="1" si="22"/>
        <v>1141</v>
      </c>
      <c r="R142" s="32">
        <f t="shared" si="23"/>
        <v>45716</v>
      </c>
      <c r="S142" s="55">
        <f t="shared" ca="1" si="24"/>
        <v>46281.656764814812</v>
      </c>
      <c r="T142" s="32" t="str">
        <f t="shared" si="25"/>
        <v>Low Sale</v>
      </c>
      <c r="U142" s="73">
        <f t="shared" si="26"/>
        <v>1949.9</v>
      </c>
      <c r="V142" s="75"/>
      <c r="W142" s="3">
        <f t="shared" si="27"/>
        <v>2</v>
      </c>
      <c r="AK142" s="5"/>
    </row>
    <row r="143" spans="1:37" ht="14.4">
      <c r="A143" s="52" t="s">
        <v>368</v>
      </c>
      <c r="B143" s="53">
        <v>45712</v>
      </c>
      <c r="C143" s="52" t="s">
        <v>138</v>
      </c>
      <c r="D143" s="52" t="s">
        <v>139</v>
      </c>
      <c r="E143" s="52" t="s">
        <v>126</v>
      </c>
      <c r="F143" s="52" t="s">
        <v>127</v>
      </c>
      <c r="G143" s="52" t="s">
        <v>46</v>
      </c>
      <c r="H143" s="52">
        <v>2</v>
      </c>
      <c r="I143" s="52">
        <v>199.99</v>
      </c>
      <c r="J143" s="52" t="s">
        <v>20</v>
      </c>
      <c r="K143" s="52" t="s">
        <v>21</v>
      </c>
      <c r="L143" s="52" t="s">
        <v>27</v>
      </c>
      <c r="M143" s="53">
        <v>44573</v>
      </c>
      <c r="N143" s="54">
        <v>399.98</v>
      </c>
      <c r="O143" s="32" t="str">
        <f t="shared" si="20"/>
        <v>Feb</v>
      </c>
      <c r="P143" s="32">
        <f t="shared" si="21"/>
        <v>2025</v>
      </c>
      <c r="Q143" s="32">
        <f t="shared" ca="1" si="22"/>
        <v>1708</v>
      </c>
      <c r="R143" s="32">
        <f t="shared" si="23"/>
        <v>45716</v>
      </c>
      <c r="S143" s="55">
        <f t="shared" ca="1" si="24"/>
        <v>46281.656764814812</v>
      </c>
      <c r="T143" s="32" t="str">
        <f t="shared" si="25"/>
        <v>Low Sale</v>
      </c>
      <c r="U143" s="73">
        <f t="shared" si="26"/>
        <v>2469.8600000000006</v>
      </c>
      <c r="V143" s="75"/>
      <c r="W143" s="3">
        <f t="shared" si="27"/>
        <v>5</v>
      </c>
      <c r="AK143" s="5"/>
    </row>
    <row r="144" spans="1:37" ht="14.4">
      <c r="A144" s="52" t="s">
        <v>369</v>
      </c>
      <c r="B144" s="53">
        <v>45715</v>
      </c>
      <c r="C144" s="52" t="s">
        <v>259</v>
      </c>
      <c r="D144" s="52" t="s">
        <v>260</v>
      </c>
      <c r="E144" s="52" t="s">
        <v>31</v>
      </c>
      <c r="F144" s="52" t="s">
        <v>32</v>
      </c>
      <c r="G144" s="52" t="s">
        <v>33</v>
      </c>
      <c r="H144" s="52">
        <v>4</v>
      </c>
      <c r="I144" s="52">
        <v>59.99</v>
      </c>
      <c r="J144" s="52" t="s">
        <v>20</v>
      </c>
      <c r="K144" s="52" t="s">
        <v>50</v>
      </c>
      <c r="L144" s="52" t="s">
        <v>36</v>
      </c>
      <c r="M144" s="53">
        <v>45070</v>
      </c>
      <c r="N144" s="54">
        <v>239.96</v>
      </c>
      <c r="O144" s="32" t="str">
        <f t="shared" si="20"/>
        <v>Feb</v>
      </c>
      <c r="P144" s="32">
        <f t="shared" si="21"/>
        <v>2025</v>
      </c>
      <c r="Q144" s="32">
        <f t="shared" ca="1" si="22"/>
        <v>1211</v>
      </c>
      <c r="R144" s="32">
        <f t="shared" si="23"/>
        <v>45716</v>
      </c>
      <c r="S144" s="55">
        <f t="shared" ca="1" si="24"/>
        <v>46281.656764814812</v>
      </c>
      <c r="T144" s="32" t="str">
        <f t="shared" si="25"/>
        <v>Low Sale</v>
      </c>
      <c r="U144" s="73">
        <f t="shared" si="26"/>
        <v>539.94000000000005</v>
      </c>
      <c r="V144" s="75"/>
      <c r="W144" s="3">
        <f t="shared" si="27"/>
        <v>2</v>
      </c>
      <c r="AK144" s="5"/>
    </row>
    <row r="145" spans="1:37" ht="14.4">
      <c r="A145" s="52" t="s">
        <v>370</v>
      </c>
      <c r="B145" s="53">
        <v>45715</v>
      </c>
      <c r="C145" s="52" t="s">
        <v>93</v>
      </c>
      <c r="D145" s="52" t="s">
        <v>94</v>
      </c>
      <c r="E145" s="52" t="s">
        <v>105</v>
      </c>
      <c r="F145" s="52" t="s">
        <v>106</v>
      </c>
      <c r="G145" s="52" t="s">
        <v>46</v>
      </c>
      <c r="H145" s="52">
        <v>2</v>
      </c>
      <c r="I145" s="52">
        <v>299.99</v>
      </c>
      <c r="J145" s="52" t="s">
        <v>34</v>
      </c>
      <c r="K145" s="52" t="s">
        <v>35</v>
      </c>
      <c r="L145" s="52" t="s">
        <v>22</v>
      </c>
      <c r="M145" s="53">
        <v>44576</v>
      </c>
      <c r="N145" s="54">
        <v>599.98</v>
      </c>
      <c r="O145" s="32" t="str">
        <f t="shared" si="20"/>
        <v>Feb</v>
      </c>
      <c r="P145" s="32">
        <f t="shared" si="21"/>
        <v>2025</v>
      </c>
      <c r="Q145" s="32">
        <f t="shared" ca="1" si="22"/>
        <v>1705</v>
      </c>
      <c r="R145" s="32">
        <f t="shared" si="23"/>
        <v>45716</v>
      </c>
      <c r="S145" s="55">
        <f t="shared" ca="1" si="24"/>
        <v>46281.656764814812</v>
      </c>
      <c r="T145" s="32" t="str">
        <f t="shared" si="25"/>
        <v>Low Sale</v>
      </c>
      <c r="U145" s="73">
        <f t="shared" si="26"/>
        <v>4789.7900000000009</v>
      </c>
      <c r="V145" s="75"/>
      <c r="W145" s="3">
        <f t="shared" si="27"/>
        <v>6</v>
      </c>
      <c r="AK145" s="5"/>
    </row>
    <row r="146" spans="1:37" ht="14.4">
      <c r="A146" s="52" t="s">
        <v>371</v>
      </c>
      <c r="B146" s="53">
        <v>45718</v>
      </c>
      <c r="C146" s="52" t="s">
        <v>55</v>
      </c>
      <c r="D146" s="52" t="s">
        <v>56</v>
      </c>
      <c r="E146" s="52" t="s">
        <v>44</v>
      </c>
      <c r="F146" s="52" t="s">
        <v>45</v>
      </c>
      <c r="G146" s="52" t="s">
        <v>46</v>
      </c>
      <c r="H146" s="52">
        <v>2</v>
      </c>
      <c r="I146" s="52">
        <v>149.99</v>
      </c>
      <c r="J146" s="52" t="s">
        <v>20</v>
      </c>
      <c r="K146" s="52" t="s">
        <v>21</v>
      </c>
      <c r="L146" s="52" t="s">
        <v>22</v>
      </c>
      <c r="M146" s="53">
        <v>45068</v>
      </c>
      <c r="N146" s="54">
        <v>299.98</v>
      </c>
      <c r="O146" s="32" t="str">
        <f t="shared" si="20"/>
        <v>Mar</v>
      </c>
      <c r="P146" s="32">
        <f t="shared" si="21"/>
        <v>2025</v>
      </c>
      <c r="Q146" s="32">
        <f t="shared" ca="1" si="22"/>
        <v>1213</v>
      </c>
      <c r="R146" s="32">
        <f t="shared" si="23"/>
        <v>45747</v>
      </c>
      <c r="S146" s="55">
        <f t="shared" ca="1" si="24"/>
        <v>46281.656764814812</v>
      </c>
      <c r="T146" s="32" t="str">
        <f t="shared" si="25"/>
        <v>Low Sale</v>
      </c>
      <c r="U146" s="73">
        <f t="shared" si="26"/>
        <v>4919.7500000000009</v>
      </c>
      <c r="V146" s="75"/>
      <c r="W146" s="3">
        <f t="shared" si="27"/>
        <v>7</v>
      </c>
      <c r="AK146" s="5"/>
    </row>
    <row r="147" spans="1:37" ht="14.4">
      <c r="A147" s="52" t="s">
        <v>372</v>
      </c>
      <c r="B147" s="53">
        <v>45720</v>
      </c>
      <c r="C147" s="52" t="s">
        <v>226</v>
      </c>
      <c r="D147" s="52" t="s">
        <v>227</v>
      </c>
      <c r="E147" s="52" t="s">
        <v>80</v>
      </c>
      <c r="F147" s="52" t="s">
        <v>81</v>
      </c>
      <c r="G147" s="52" t="s">
        <v>19</v>
      </c>
      <c r="H147" s="52">
        <v>5</v>
      </c>
      <c r="I147" s="52">
        <v>699.99</v>
      </c>
      <c r="J147" s="52" t="s">
        <v>57</v>
      </c>
      <c r="K147" s="52" t="s">
        <v>63</v>
      </c>
      <c r="L147" s="52" t="s">
        <v>27</v>
      </c>
      <c r="M147" s="53">
        <v>45161</v>
      </c>
      <c r="N147" s="54">
        <v>3499.95</v>
      </c>
      <c r="O147" s="32" t="str">
        <f t="shared" si="20"/>
        <v>Mar</v>
      </c>
      <c r="P147" s="32">
        <f t="shared" si="21"/>
        <v>2025</v>
      </c>
      <c r="Q147" s="32">
        <f t="shared" ca="1" si="22"/>
        <v>1120</v>
      </c>
      <c r="R147" s="32">
        <f t="shared" si="23"/>
        <v>45747</v>
      </c>
      <c r="S147" s="55">
        <f t="shared" ca="1" si="24"/>
        <v>46281.656764814812</v>
      </c>
      <c r="T147" s="32" t="str">
        <f t="shared" si="25"/>
        <v>High Sale</v>
      </c>
      <c r="U147" s="73">
        <f t="shared" si="26"/>
        <v>5349.82</v>
      </c>
      <c r="V147" s="75"/>
      <c r="W147" s="3">
        <f t="shared" si="27"/>
        <v>6</v>
      </c>
      <c r="AK147" s="5"/>
    </row>
    <row r="148" spans="1:37" ht="14.4">
      <c r="A148" s="52" t="s">
        <v>373</v>
      </c>
      <c r="B148" s="53">
        <v>45721</v>
      </c>
      <c r="C148" s="52" t="s">
        <v>75</v>
      </c>
      <c r="D148" s="52" t="s">
        <v>76</v>
      </c>
      <c r="E148" s="52" t="s">
        <v>31</v>
      </c>
      <c r="F148" s="52" t="s">
        <v>32</v>
      </c>
      <c r="G148" s="52" t="s">
        <v>33</v>
      </c>
      <c r="H148" s="52">
        <v>5</v>
      </c>
      <c r="I148" s="52">
        <v>59.99</v>
      </c>
      <c r="J148" s="52" t="s">
        <v>20</v>
      </c>
      <c r="K148" s="52" t="s">
        <v>50</v>
      </c>
      <c r="L148" s="52" t="s">
        <v>27</v>
      </c>
      <c r="M148" s="53">
        <v>45291</v>
      </c>
      <c r="N148" s="54">
        <v>299.95</v>
      </c>
      <c r="O148" s="32" t="str">
        <f t="shared" si="20"/>
        <v>Mar</v>
      </c>
      <c r="P148" s="32">
        <f t="shared" si="21"/>
        <v>2025</v>
      </c>
      <c r="Q148" s="32">
        <f t="shared" ca="1" si="22"/>
        <v>990</v>
      </c>
      <c r="R148" s="32">
        <f t="shared" si="23"/>
        <v>45747</v>
      </c>
      <c r="S148" s="55">
        <f t="shared" ca="1" si="24"/>
        <v>46281.656764814812</v>
      </c>
      <c r="T148" s="32" t="str">
        <f t="shared" si="25"/>
        <v>Low Sale</v>
      </c>
      <c r="U148" s="73">
        <f t="shared" si="26"/>
        <v>479.91999999999996</v>
      </c>
      <c r="V148" s="75"/>
      <c r="W148" s="3">
        <f t="shared" si="27"/>
        <v>2</v>
      </c>
      <c r="AK148" s="5"/>
    </row>
    <row r="149" spans="1:37" ht="14.4">
      <c r="A149" s="52" t="s">
        <v>374</v>
      </c>
      <c r="B149" s="53">
        <v>45723</v>
      </c>
      <c r="C149" s="52" t="s">
        <v>15</v>
      </c>
      <c r="D149" s="52" t="s">
        <v>16</v>
      </c>
      <c r="E149" s="52" t="s">
        <v>117</v>
      </c>
      <c r="F149" s="52" t="s">
        <v>118</v>
      </c>
      <c r="G149" s="52" t="s">
        <v>19</v>
      </c>
      <c r="H149" s="52">
        <v>2</v>
      </c>
      <c r="I149" s="52">
        <v>89.99</v>
      </c>
      <c r="J149" s="52" t="s">
        <v>26</v>
      </c>
      <c r="K149" s="52" t="s">
        <v>50</v>
      </c>
      <c r="L149" s="52" t="s">
        <v>27</v>
      </c>
      <c r="M149" s="53">
        <v>45295</v>
      </c>
      <c r="N149" s="54">
        <v>179.98</v>
      </c>
      <c r="O149" s="32" t="str">
        <f t="shared" si="20"/>
        <v>Mar</v>
      </c>
      <c r="P149" s="32">
        <f t="shared" si="21"/>
        <v>2025</v>
      </c>
      <c r="Q149" s="32">
        <f t="shared" ca="1" si="22"/>
        <v>986</v>
      </c>
      <c r="R149" s="32">
        <f t="shared" si="23"/>
        <v>45747</v>
      </c>
      <c r="S149" s="55">
        <f t="shared" ca="1" si="24"/>
        <v>46281.656764814812</v>
      </c>
      <c r="T149" s="32" t="str">
        <f t="shared" si="25"/>
        <v>Low Sale</v>
      </c>
      <c r="U149" s="73">
        <f t="shared" si="26"/>
        <v>8059.7499999999991</v>
      </c>
      <c r="V149" s="75"/>
      <c r="W149" s="3">
        <f t="shared" si="27"/>
        <v>7</v>
      </c>
      <c r="AK149" s="5"/>
    </row>
    <row r="150" spans="1:37" ht="14.4">
      <c r="A150" s="52" t="s">
        <v>375</v>
      </c>
      <c r="B150" s="53">
        <v>45723</v>
      </c>
      <c r="C150" s="52" t="s">
        <v>120</v>
      </c>
      <c r="D150" s="52" t="s">
        <v>121</v>
      </c>
      <c r="E150" s="52" t="s">
        <v>17</v>
      </c>
      <c r="F150" s="52" t="s">
        <v>18</v>
      </c>
      <c r="G150" s="52" t="s">
        <v>19</v>
      </c>
      <c r="H150" s="52">
        <v>5</v>
      </c>
      <c r="I150" s="52">
        <v>249.99</v>
      </c>
      <c r="J150" s="52" t="s">
        <v>20</v>
      </c>
      <c r="K150" s="52" t="s">
        <v>63</v>
      </c>
      <c r="L150" s="52" t="s">
        <v>36</v>
      </c>
      <c r="M150" s="53">
        <v>44540</v>
      </c>
      <c r="N150" s="54">
        <v>1249.95</v>
      </c>
      <c r="O150" s="32" t="str">
        <f t="shared" si="20"/>
        <v>Mar</v>
      </c>
      <c r="P150" s="32">
        <f t="shared" si="21"/>
        <v>2025</v>
      </c>
      <c r="Q150" s="32">
        <f t="shared" ca="1" si="22"/>
        <v>1741</v>
      </c>
      <c r="R150" s="32">
        <f t="shared" si="23"/>
        <v>45747</v>
      </c>
      <c r="S150" s="55">
        <f t="shared" ca="1" si="24"/>
        <v>46281.656764814812</v>
      </c>
      <c r="T150" s="32" t="str">
        <f t="shared" si="25"/>
        <v>High Sale</v>
      </c>
      <c r="U150" s="73">
        <f t="shared" si="26"/>
        <v>2709.84</v>
      </c>
      <c r="V150" s="75"/>
      <c r="W150" s="3">
        <f t="shared" si="27"/>
        <v>5</v>
      </c>
      <c r="AK150" s="5"/>
    </row>
    <row r="151" spans="1:37" ht="14.4">
      <c r="A151" s="52" t="s">
        <v>376</v>
      </c>
      <c r="B151" s="53">
        <v>45724</v>
      </c>
      <c r="C151" s="52" t="s">
        <v>226</v>
      </c>
      <c r="D151" s="52" t="s">
        <v>227</v>
      </c>
      <c r="E151" s="52" t="s">
        <v>44</v>
      </c>
      <c r="F151" s="52" t="s">
        <v>45</v>
      </c>
      <c r="G151" s="52" t="s">
        <v>46</v>
      </c>
      <c r="H151" s="52">
        <v>2</v>
      </c>
      <c r="I151" s="52">
        <v>149.99</v>
      </c>
      <c r="J151" s="52" t="s">
        <v>34</v>
      </c>
      <c r="K151" s="52" t="s">
        <v>21</v>
      </c>
      <c r="L151" s="52" t="s">
        <v>27</v>
      </c>
      <c r="M151" s="53">
        <v>44632</v>
      </c>
      <c r="N151" s="54">
        <v>299.98</v>
      </c>
      <c r="O151" s="32" t="str">
        <f t="shared" si="20"/>
        <v>Mar</v>
      </c>
      <c r="P151" s="32">
        <f t="shared" si="21"/>
        <v>2025</v>
      </c>
      <c r="Q151" s="32">
        <f t="shared" ca="1" si="22"/>
        <v>1649</v>
      </c>
      <c r="R151" s="32">
        <f t="shared" si="23"/>
        <v>45747</v>
      </c>
      <c r="S151" s="55">
        <f t="shared" ca="1" si="24"/>
        <v>46281.656764814812</v>
      </c>
      <c r="T151" s="32" t="str">
        <f t="shared" si="25"/>
        <v>Low Sale</v>
      </c>
      <c r="U151" s="73">
        <f t="shared" si="26"/>
        <v>5349.82</v>
      </c>
      <c r="V151" s="75"/>
      <c r="W151" s="3">
        <f t="shared" si="27"/>
        <v>6</v>
      </c>
      <c r="AK151" s="5"/>
    </row>
    <row r="152" spans="1:37" ht="14.4">
      <c r="A152" s="52" t="s">
        <v>377</v>
      </c>
      <c r="B152" s="53">
        <v>45724</v>
      </c>
      <c r="C152" s="52" t="s">
        <v>144</v>
      </c>
      <c r="D152" s="52" t="s">
        <v>145</v>
      </c>
      <c r="E152" s="52" t="s">
        <v>61</v>
      </c>
      <c r="F152" s="52" t="s">
        <v>62</v>
      </c>
      <c r="G152" s="52" t="s">
        <v>19</v>
      </c>
      <c r="H152" s="52">
        <v>5</v>
      </c>
      <c r="I152" s="52">
        <v>899.99</v>
      </c>
      <c r="J152" s="52" t="s">
        <v>34</v>
      </c>
      <c r="K152" s="52" t="s">
        <v>63</v>
      </c>
      <c r="L152" s="52" t="s">
        <v>27</v>
      </c>
      <c r="M152" s="53">
        <v>45389</v>
      </c>
      <c r="N152" s="54">
        <v>4499.95</v>
      </c>
      <c r="O152" s="32" t="str">
        <f t="shared" si="20"/>
        <v>Mar</v>
      </c>
      <c r="P152" s="32">
        <f t="shared" si="21"/>
        <v>2025</v>
      </c>
      <c r="Q152" s="32">
        <f t="shared" ca="1" si="22"/>
        <v>892</v>
      </c>
      <c r="R152" s="32">
        <f t="shared" si="23"/>
        <v>45747</v>
      </c>
      <c r="S152" s="55">
        <f t="shared" ca="1" si="24"/>
        <v>46281.656764814812</v>
      </c>
      <c r="T152" s="32" t="str">
        <f t="shared" si="25"/>
        <v>High Sale</v>
      </c>
      <c r="U152" s="73">
        <f t="shared" si="26"/>
        <v>5019.91</v>
      </c>
      <c r="V152" s="75"/>
      <c r="W152" s="3">
        <f t="shared" si="27"/>
        <v>3</v>
      </c>
      <c r="AK152" s="5"/>
    </row>
    <row r="153" spans="1:37" ht="14.4">
      <c r="A153" s="52" t="s">
        <v>378</v>
      </c>
      <c r="B153" s="53">
        <v>45724</v>
      </c>
      <c r="C153" s="52" t="s">
        <v>55</v>
      </c>
      <c r="D153" s="52" t="s">
        <v>56</v>
      </c>
      <c r="E153" s="52" t="s">
        <v>44</v>
      </c>
      <c r="F153" s="52" t="s">
        <v>45</v>
      </c>
      <c r="G153" s="52" t="s">
        <v>46</v>
      </c>
      <c r="H153" s="52">
        <v>4</v>
      </c>
      <c r="I153" s="52">
        <v>149.99</v>
      </c>
      <c r="J153" s="52" t="s">
        <v>20</v>
      </c>
      <c r="K153" s="52" t="s">
        <v>21</v>
      </c>
      <c r="L153" s="52" t="s">
        <v>36</v>
      </c>
      <c r="M153" s="53">
        <v>45263</v>
      </c>
      <c r="N153" s="54">
        <v>599.96</v>
      </c>
      <c r="O153" s="32" t="str">
        <f t="shared" si="20"/>
        <v>Mar</v>
      </c>
      <c r="P153" s="32">
        <f t="shared" si="21"/>
        <v>2025</v>
      </c>
      <c r="Q153" s="32">
        <f t="shared" ca="1" si="22"/>
        <v>1018</v>
      </c>
      <c r="R153" s="32">
        <f t="shared" si="23"/>
        <v>45747</v>
      </c>
      <c r="S153" s="55">
        <f t="shared" ca="1" si="24"/>
        <v>46281.656764814812</v>
      </c>
      <c r="T153" s="32" t="str">
        <f t="shared" si="25"/>
        <v>Low Sale</v>
      </c>
      <c r="U153" s="73">
        <f t="shared" si="26"/>
        <v>4919.7500000000009</v>
      </c>
      <c r="V153" s="75"/>
      <c r="W153" s="3">
        <f t="shared" si="27"/>
        <v>7</v>
      </c>
      <c r="AK153" s="5"/>
    </row>
    <row r="154" spans="1:37" ht="14.4">
      <c r="A154" s="52" t="s">
        <v>379</v>
      </c>
      <c r="B154" s="53">
        <v>45726</v>
      </c>
      <c r="C154" s="52" t="s">
        <v>144</v>
      </c>
      <c r="D154" s="52" t="s">
        <v>145</v>
      </c>
      <c r="E154" s="52" t="s">
        <v>17</v>
      </c>
      <c r="F154" s="52" t="s">
        <v>18</v>
      </c>
      <c r="G154" s="52" t="s">
        <v>19</v>
      </c>
      <c r="H154" s="52">
        <v>1</v>
      </c>
      <c r="I154" s="52">
        <v>249.99</v>
      </c>
      <c r="J154" s="52" t="s">
        <v>20</v>
      </c>
      <c r="K154" s="52" t="s">
        <v>40</v>
      </c>
      <c r="L154" s="52" t="s">
        <v>36</v>
      </c>
      <c r="M154" s="53">
        <v>45117</v>
      </c>
      <c r="N154" s="54">
        <v>249.99</v>
      </c>
      <c r="O154" s="32" t="str">
        <f t="shared" si="20"/>
        <v>Mar</v>
      </c>
      <c r="P154" s="32">
        <f t="shared" si="21"/>
        <v>2025</v>
      </c>
      <c r="Q154" s="32">
        <f t="shared" ca="1" si="22"/>
        <v>1164</v>
      </c>
      <c r="R154" s="32">
        <f t="shared" si="23"/>
        <v>45747</v>
      </c>
      <c r="S154" s="55">
        <f t="shared" ca="1" si="24"/>
        <v>46281.656764814812</v>
      </c>
      <c r="T154" s="32" t="str">
        <f t="shared" si="25"/>
        <v>Low Sale</v>
      </c>
      <c r="U154" s="73">
        <f t="shared" si="26"/>
        <v>5019.91</v>
      </c>
      <c r="V154" s="75"/>
      <c r="W154" s="3">
        <f t="shared" si="27"/>
        <v>3</v>
      </c>
      <c r="AK154" s="5"/>
    </row>
    <row r="155" spans="1:37" ht="14.4">
      <c r="A155" s="52" t="s">
        <v>380</v>
      </c>
      <c r="B155" s="53">
        <v>45734</v>
      </c>
      <c r="C155" s="52" t="s">
        <v>192</v>
      </c>
      <c r="D155" s="52" t="s">
        <v>193</v>
      </c>
      <c r="E155" s="52" t="s">
        <v>31</v>
      </c>
      <c r="F155" s="52" t="s">
        <v>32</v>
      </c>
      <c r="G155" s="52" t="s">
        <v>33</v>
      </c>
      <c r="H155" s="52">
        <v>2</v>
      </c>
      <c r="I155" s="52">
        <v>59.99</v>
      </c>
      <c r="J155" s="52" t="s">
        <v>26</v>
      </c>
      <c r="K155" s="52" t="s">
        <v>50</v>
      </c>
      <c r="L155" s="52" t="s">
        <v>22</v>
      </c>
      <c r="M155" s="53">
        <v>45193</v>
      </c>
      <c r="N155" s="54">
        <v>119.98</v>
      </c>
      <c r="O155" s="32" t="str">
        <f t="shared" si="20"/>
        <v>Mar</v>
      </c>
      <c r="P155" s="32">
        <f t="shared" si="21"/>
        <v>2025</v>
      </c>
      <c r="Q155" s="32">
        <f t="shared" ca="1" si="22"/>
        <v>1088</v>
      </c>
      <c r="R155" s="32">
        <f t="shared" si="23"/>
        <v>45747</v>
      </c>
      <c r="S155" s="55">
        <f t="shared" ca="1" si="24"/>
        <v>46281.656764814812</v>
      </c>
      <c r="T155" s="32" t="str">
        <f t="shared" si="25"/>
        <v>Low Sale</v>
      </c>
      <c r="U155" s="73">
        <f t="shared" si="26"/>
        <v>779.94</v>
      </c>
      <c r="V155" s="75"/>
      <c r="W155" s="3">
        <f t="shared" si="27"/>
        <v>3</v>
      </c>
      <c r="AK155" s="5"/>
    </row>
    <row r="156" spans="1:37" ht="14.4">
      <c r="A156" s="52" t="s">
        <v>381</v>
      </c>
      <c r="B156" s="53">
        <v>45737</v>
      </c>
      <c r="C156" s="52" t="s">
        <v>132</v>
      </c>
      <c r="D156" s="52" t="s">
        <v>133</v>
      </c>
      <c r="E156" s="52" t="s">
        <v>44</v>
      </c>
      <c r="F156" s="52" t="s">
        <v>45</v>
      </c>
      <c r="G156" s="52" t="s">
        <v>46</v>
      </c>
      <c r="H156" s="52">
        <v>2</v>
      </c>
      <c r="I156" s="52">
        <v>149.99</v>
      </c>
      <c r="J156" s="52" t="s">
        <v>20</v>
      </c>
      <c r="K156" s="52" t="s">
        <v>50</v>
      </c>
      <c r="L156" s="52" t="s">
        <v>27</v>
      </c>
      <c r="M156" s="53">
        <v>45233</v>
      </c>
      <c r="N156" s="54">
        <v>299.98</v>
      </c>
      <c r="O156" s="32" t="str">
        <f t="shared" si="20"/>
        <v>Mar</v>
      </c>
      <c r="P156" s="32">
        <f t="shared" si="21"/>
        <v>2025</v>
      </c>
      <c r="Q156" s="32">
        <f t="shared" ca="1" si="22"/>
        <v>1048</v>
      </c>
      <c r="R156" s="32">
        <f t="shared" si="23"/>
        <v>45747</v>
      </c>
      <c r="S156" s="55">
        <f t="shared" ca="1" si="24"/>
        <v>46281.656764814812</v>
      </c>
      <c r="T156" s="32" t="str">
        <f t="shared" si="25"/>
        <v>Low Sale</v>
      </c>
      <c r="U156" s="73">
        <f t="shared" si="26"/>
        <v>869.93000000000006</v>
      </c>
      <c r="V156" s="75"/>
      <c r="W156" s="3">
        <f t="shared" si="27"/>
        <v>3</v>
      </c>
      <c r="AK156" s="5"/>
    </row>
    <row r="157" spans="1:37" ht="14.4">
      <c r="A157" s="52" t="s">
        <v>382</v>
      </c>
      <c r="B157" s="53">
        <v>45737</v>
      </c>
      <c r="C157" s="52" t="s">
        <v>150</v>
      </c>
      <c r="D157" s="52" t="s">
        <v>151</v>
      </c>
      <c r="E157" s="52" t="s">
        <v>61</v>
      </c>
      <c r="F157" s="52" t="s">
        <v>62</v>
      </c>
      <c r="G157" s="52" t="s">
        <v>19</v>
      </c>
      <c r="H157" s="52">
        <v>3</v>
      </c>
      <c r="I157" s="52">
        <v>899.99</v>
      </c>
      <c r="J157" s="52" t="s">
        <v>57</v>
      </c>
      <c r="K157" s="52" t="s">
        <v>40</v>
      </c>
      <c r="L157" s="52" t="s">
        <v>27</v>
      </c>
      <c r="M157" s="53">
        <v>44876</v>
      </c>
      <c r="N157" s="54">
        <v>2699.97</v>
      </c>
      <c r="O157" s="32" t="str">
        <f t="shared" si="20"/>
        <v>Mar</v>
      </c>
      <c r="P157" s="32">
        <f t="shared" si="21"/>
        <v>2025</v>
      </c>
      <c r="Q157" s="32">
        <f t="shared" ca="1" si="22"/>
        <v>1405</v>
      </c>
      <c r="R157" s="32">
        <f t="shared" si="23"/>
        <v>45747</v>
      </c>
      <c r="S157" s="55">
        <f t="shared" ca="1" si="24"/>
        <v>46281.656764814812</v>
      </c>
      <c r="T157" s="32" t="str">
        <f t="shared" si="25"/>
        <v>High Sale</v>
      </c>
      <c r="U157" s="73">
        <f t="shared" si="26"/>
        <v>3819.89</v>
      </c>
      <c r="V157" s="75"/>
      <c r="W157" s="3">
        <f t="shared" si="27"/>
        <v>4</v>
      </c>
      <c r="AK157" s="5"/>
    </row>
    <row r="158" spans="1:37" ht="14.4">
      <c r="A158" s="52" t="s">
        <v>383</v>
      </c>
      <c r="B158" s="53">
        <v>45737</v>
      </c>
      <c r="C158" s="52" t="s">
        <v>48</v>
      </c>
      <c r="D158" s="52" t="s">
        <v>49</v>
      </c>
      <c r="E158" s="52" t="s">
        <v>61</v>
      </c>
      <c r="F158" s="52" t="s">
        <v>62</v>
      </c>
      <c r="G158" s="52" t="s">
        <v>19</v>
      </c>
      <c r="H158" s="52">
        <v>3</v>
      </c>
      <c r="I158" s="52">
        <v>899.99</v>
      </c>
      <c r="J158" s="52" t="s">
        <v>34</v>
      </c>
      <c r="K158" s="52" t="s">
        <v>40</v>
      </c>
      <c r="L158" s="52" t="s">
        <v>22</v>
      </c>
      <c r="M158" s="53">
        <v>44975</v>
      </c>
      <c r="N158" s="54">
        <v>2699.97</v>
      </c>
      <c r="O158" s="32" t="str">
        <f t="shared" si="20"/>
        <v>Mar</v>
      </c>
      <c r="P158" s="32">
        <f t="shared" si="21"/>
        <v>2025</v>
      </c>
      <c r="Q158" s="32">
        <f t="shared" ca="1" si="22"/>
        <v>1306</v>
      </c>
      <c r="R158" s="32">
        <f t="shared" si="23"/>
        <v>45747</v>
      </c>
      <c r="S158" s="55">
        <f t="shared" ca="1" si="24"/>
        <v>46281.656764814812</v>
      </c>
      <c r="T158" s="32" t="str">
        <f t="shared" si="25"/>
        <v>High Sale</v>
      </c>
      <c r="U158" s="73">
        <f t="shared" si="26"/>
        <v>7369.82</v>
      </c>
      <c r="V158" s="75"/>
      <c r="W158" s="3">
        <f t="shared" si="27"/>
        <v>5</v>
      </c>
      <c r="AK158" s="5"/>
    </row>
    <row r="159" spans="1:37" ht="14.4">
      <c r="A159" s="52" t="s">
        <v>384</v>
      </c>
      <c r="B159" s="53">
        <v>45739</v>
      </c>
      <c r="C159" s="52" t="s">
        <v>15</v>
      </c>
      <c r="D159" s="52" t="s">
        <v>16</v>
      </c>
      <c r="E159" s="52" t="s">
        <v>105</v>
      </c>
      <c r="F159" s="52" t="s">
        <v>106</v>
      </c>
      <c r="G159" s="52" t="s">
        <v>46</v>
      </c>
      <c r="H159" s="52">
        <v>3</v>
      </c>
      <c r="I159" s="52">
        <v>299.99</v>
      </c>
      <c r="J159" s="52" t="s">
        <v>26</v>
      </c>
      <c r="K159" s="52" t="s">
        <v>50</v>
      </c>
      <c r="L159" s="52" t="s">
        <v>27</v>
      </c>
      <c r="M159" s="53">
        <v>45234</v>
      </c>
      <c r="N159" s="54">
        <v>899.97</v>
      </c>
      <c r="O159" s="32" t="str">
        <f t="shared" si="20"/>
        <v>Mar</v>
      </c>
      <c r="P159" s="32">
        <f t="shared" si="21"/>
        <v>2025</v>
      </c>
      <c r="Q159" s="32">
        <f t="shared" ca="1" si="22"/>
        <v>1047</v>
      </c>
      <c r="R159" s="32">
        <f t="shared" si="23"/>
        <v>45747</v>
      </c>
      <c r="S159" s="55">
        <f t="shared" ca="1" si="24"/>
        <v>46281.656764814812</v>
      </c>
      <c r="T159" s="32" t="str">
        <f t="shared" si="25"/>
        <v>Low Sale</v>
      </c>
      <c r="U159" s="73">
        <f t="shared" si="26"/>
        <v>8059.7499999999991</v>
      </c>
      <c r="V159" s="75"/>
      <c r="W159" s="3">
        <f t="shared" si="27"/>
        <v>7</v>
      </c>
      <c r="AK159" s="5"/>
    </row>
    <row r="160" spans="1:37" ht="14.4">
      <c r="A160" s="52" t="s">
        <v>385</v>
      </c>
      <c r="B160" s="53">
        <v>45740</v>
      </c>
      <c r="C160" s="52" t="s">
        <v>386</v>
      </c>
      <c r="D160" s="52" t="s">
        <v>387</v>
      </c>
      <c r="E160" s="52" t="s">
        <v>44</v>
      </c>
      <c r="F160" s="52" t="s">
        <v>45</v>
      </c>
      <c r="G160" s="52" t="s">
        <v>46</v>
      </c>
      <c r="H160" s="52">
        <v>4</v>
      </c>
      <c r="I160" s="52">
        <v>149.99</v>
      </c>
      <c r="J160" s="52" t="s">
        <v>34</v>
      </c>
      <c r="K160" s="52" t="s">
        <v>50</v>
      </c>
      <c r="L160" s="52" t="s">
        <v>36</v>
      </c>
      <c r="M160" s="53">
        <v>44560</v>
      </c>
      <c r="N160" s="54">
        <v>599.96</v>
      </c>
      <c r="O160" s="32" t="str">
        <f t="shared" si="20"/>
        <v>Mar</v>
      </c>
      <c r="P160" s="32">
        <f t="shared" si="21"/>
        <v>2025</v>
      </c>
      <c r="Q160" s="32">
        <f t="shared" ca="1" si="22"/>
        <v>1721</v>
      </c>
      <c r="R160" s="32">
        <f t="shared" si="23"/>
        <v>45747</v>
      </c>
      <c r="S160" s="55">
        <f t="shared" ca="1" si="24"/>
        <v>46281.656764814812</v>
      </c>
      <c r="T160" s="32" t="str">
        <f t="shared" si="25"/>
        <v>Low Sale</v>
      </c>
      <c r="U160" s="73">
        <f t="shared" si="26"/>
        <v>599.96</v>
      </c>
      <c r="V160" s="75"/>
      <c r="W160" s="3">
        <f t="shared" si="27"/>
        <v>1</v>
      </c>
      <c r="AK160" s="5"/>
    </row>
    <row r="161" spans="1:37" ht="14.4">
      <c r="A161" s="52" t="s">
        <v>388</v>
      </c>
      <c r="B161" s="53">
        <v>45743</v>
      </c>
      <c r="C161" s="52" t="s">
        <v>102</v>
      </c>
      <c r="D161" s="52" t="s">
        <v>103</v>
      </c>
      <c r="E161" s="52" t="s">
        <v>114</v>
      </c>
      <c r="F161" s="52" t="s">
        <v>115</v>
      </c>
      <c r="G161" s="52" t="s">
        <v>33</v>
      </c>
      <c r="H161" s="52">
        <v>4</v>
      </c>
      <c r="I161" s="52">
        <v>79.989999999999995</v>
      </c>
      <c r="J161" s="52" t="s">
        <v>26</v>
      </c>
      <c r="K161" s="52" t="s">
        <v>21</v>
      </c>
      <c r="L161" s="52" t="s">
        <v>22</v>
      </c>
      <c r="M161" s="53">
        <v>45288</v>
      </c>
      <c r="N161" s="54">
        <v>319.95999999999998</v>
      </c>
      <c r="O161" s="32" t="str">
        <f t="shared" si="20"/>
        <v>Mar</v>
      </c>
      <c r="P161" s="32">
        <f t="shared" si="21"/>
        <v>2025</v>
      </c>
      <c r="Q161" s="32">
        <f t="shared" ca="1" si="22"/>
        <v>993</v>
      </c>
      <c r="R161" s="32">
        <f t="shared" si="23"/>
        <v>45747</v>
      </c>
      <c r="S161" s="55">
        <f t="shared" ca="1" si="24"/>
        <v>46281.656764814812</v>
      </c>
      <c r="T161" s="32" t="str">
        <f t="shared" si="25"/>
        <v>Low Sale</v>
      </c>
      <c r="U161" s="73">
        <f t="shared" si="26"/>
        <v>2719.9</v>
      </c>
      <c r="V161" s="75"/>
      <c r="W161" s="3">
        <f t="shared" si="27"/>
        <v>3</v>
      </c>
      <c r="AK161" s="5"/>
    </row>
    <row r="162" spans="1:37" ht="14.4">
      <c r="A162" s="52" t="s">
        <v>389</v>
      </c>
      <c r="B162" s="53">
        <v>45745</v>
      </c>
      <c r="C162" s="52" t="s">
        <v>185</v>
      </c>
      <c r="D162" s="52" t="s">
        <v>186</v>
      </c>
      <c r="E162" s="52" t="s">
        <v>117</v>
      </c>
      <c r="F162" s="52" t="s">
        <v>118</v>
      </c>
      <c r="G162" s="52" t="s">
        <v>19</v>
      </c>
      <c r="H162" s="52">
        <v>5</v>
      </c>
      <c r="I162" s="52">
        <v>89.99</v>
      </c>
      <c r="J162" s="52" t="s">
        <v>34</v>
      </c>
      <c r="K162" s="52" t="s">
        <v>35</v>
      </c>
      <c r="L162" s="52" t="s">
        <v>22</v>
      </c>
      <c r="M162" s="53">
        <v>44704</v>
      </c>
      <c r="N162" s="54">
        <v>449.95</v>
      </c>
      <c r="O162" s="32" t="str">
        <f t="shared" si="20"/>
        <v>Mar</v>
      </c>
      <c r="P162" s="32">
        <f t="shared" si="21"/>
        <v>2025</v>
      </c>
      <c r="Q162" s="32">
        <f t="shared" ca="1" si="22"/>
        <v>1577</v>
      </c>
      <c r="R162" s="32">
        <f t="shared" si="23"/>
        <v>45747</v>
      </c>
      <c r="S162" s="55">
        <f t="shared" ca="1" si="24"/>
        <v>46281.656764814812</v>
      </c>
      <c r="T162" s="32" t="str">
        <f t="shared" si="25"/>
        <v>Low Sale</v>
      </c>
      <c r="U162" s="73">
        <f t="shared" ref="U162:U171" si="28">SUMIFS($N:$N, $D:$D, D162)</f>
        <v>699.94</v>
      </c>
      <c r="V162" s="75"/>
      <c r="W162" s="3">
        <f t="shared" ref="W162:W171" si="29">COUNTIF($D$2:$D$171,D162)</f>
        <v>2</v>
      </c>
      <c r="AK162" s="5"/>
    </row>
    <row r="163" spans="1:37" ht="14.4">
      <c r="A163" s="52" t="s">
        <v>390</v>
      </c>
      <c r="B163" s="53">
        <v>45746</v>
      </c>
      <c r="C163" s="52" t="s">
        <v>93</v>
      </c>
      <c r="D163" s="52" t="s">
        <v>94</v>
      </c>
      <c r="E163" s="52" t="s">
        <v>44</v>
      </c>
      <c r="F163" s="52" t="s">
        <v>45</v>
      </c>
      <c r="G163" s="52" t="s">
        <v>46</v>
      </c>
      <c r="H163" s="52">
        <v>3</v>
      </c>
      <c r="I163" s="52">
        <v>149.99</v>
      </c>
      <c r="J163" s="52" t="s">
        <v>34</v>
      </c>
      <c r="K163" s="52" t="s">
        <v>21</v>
      </c>
      <c r="L163" s="52" t="s">
        <v>36</v>
      </c>
      <c r="M163" s="53">
        <v>45171</v>
      </c>
      <c r="N163" s="54">
        <v>449.97</v>
      </c>
      <c r="O163" s="32" t="str">
        <f t="shared" si="20"/>
        <v>Mar</v>
      </c>
      <c r="P163" s="32">
        <f t="shared" si="21"/>
        <v>2025</v>
      </c>
      <c r="Q163" s="32">
        <f t="shared" ca="1" si="22"/>
        <v>1110</v>
      </c>
      <c r="R163" s="32">
        <f t="shared" si="23"/>
        <v>45747</v>
      </c>
      <c r="S163" s="55">
        <f t="shared" ca="1" si="24"/>
        <v>46281.656764814812</v>
      </c>
      <c r="T163" s="32" t="str">
        <f t="shared" si="25"/>
        <v>Low Sale</v>
      </c>
      <c r="U163" s="73">
        <f t="shared" si="28"/>
        <v>4789.7900000000009</v>
      </c>
      <c r="V163" s="75"/>
      <c r="W163" s="3">
        <f t="shared" si="29"/>
        <v>6</v>
      </c>
      <c r="AK163" s="5"/>
    </row>
    <row r="164" spans="1:37" ht="14.4">
      <c r="A164" s="52" t="s">
        <v>391</v>
      </c>
      <c r="B164" s="53">
        <v>45746</v>
      </c>
      <c r="C164" s="52" t="s">
        <v>65</v>
      </c>
      <c r="D164" s="52" t="s">
        <v>66</v>
      </c>
      <c r="E164" s="52" t="s">
        <v>117</v>
      </c>
      <c r="F164" s="52" t="s">
        <v>118</v>
      </c>
      <c r="G164" s="52" t="s">
        <v>19</v>
      </c>
      <c r="H164" s="52">
        <v>2</v>
      </c>
      <c r="I164" s="52">
        <v>89.99</v>
      </c>
      <c r="J164" s="52" t="s">
        <v>57</v>
      </c>
      <c r="K164" s="52" t="s">
        <v>50</v>
      </c>
      <c r="L164" s="52" t="s">
        <v>27</v>
      </c>
      <c r="M164" s="53">
        <v>44522</v>
      </c>
      <c r="N164" s="54">
        <v>179.98</v>
      </c>
      <c r="O164" s="32" t="str">
        <f t="shared" si="20"/>
        <v>Mar</v>
      </c>
      <c r="P164" s="32">
        <f t="shared" si="21"/>
        <v>2025</v>
      </c>
      <c r="Q164" s="32">
        <f t="shared" ca="1" si="22"/>
        <v>1759</v>
      </c>
      <c r="R164" s="32">
        <f t="shared" si="23"/>
        <v>45747</v>
      </c>
      <c r="S164" s="55">
        <f t="shared" ca="1" si="24"/>
        <v>46281.656764814812</v>
      </c>
      <c r="T164" s="32" t="str">
        <f t="shared" si="25"/>
        <v>Low Sale</v>
      </c>
      <c r="U164" s="73">
        <f t="shared" si="28"/>
        <v>6159.8499999999995</v>
      </c>
      <c r="V164" s="75"/>
      <c r="W164" s="3">
        <f t="shared" si="29"/>
        <v>5</v>
      </c>
      <c r="AK164" s="5"/>
    </row>
    <row r="165" spans="1:37" ht="14.4">
      <c r="A165" s="52" t="s">
        <v>392</v>
      </c>
      <c r="B165" s="53">
        <v>45748</v>
      </c>
      <c r="C165" s="52" t="s">
        <v>102</v>
      </c>
      <c r="D165" s="52" t="s">
        <v>103</v>
      </c>
      <c r="E165" s="52" t="s">
        <v>80</v>
      </c>
      <c r="F165" s="52" t="s">
        <v>81</v>
      </c>
      <c r="G165" s="52" t="s">
        <v>19</v>
      </c>
      <c r="H165" s="52">
        <v>2</v>
      </c>
      <c r="I165" s="52">
        <v>699.99</v>
      </c>
      <c r="J165" s="52" t="s">
        <v>34</v>
      </c>
      <c r="K165" s="52" t="s">
        <v>40</v>
      </c>
      <c r="L165" s="52" t="s">
        <v>36</v>
      </c>
      <c r="M165" s="53">
        <v>44618</v>
      </c>
      <c r="N165" s="54">
        <v>1399.98</v>
      </c>
      <c r="O165" s="32" t="str">
        <f t="shared" si="20"/>
        <v>Apr</v>
      </c>
      <c r="P165" s="32">
        <f t="shared" si="21"/>
        <v>2025</v>
      </c>
      <c r="Q165" s="32">
        <f t="shared" ca="1" si="22"/>
        <v>1663</v>
      </c>
      <c r="R165" s="32">
        <f t="shared" si="23"/>
        <v>45777</v>
      </c>
      <c r="S165" s="55">
        <f t="shared" ca="1" si="24"/>
        <v>46281.656764814812</v>
      </c>
      <c r="T165" s="32" t="str">
        <f t="shared" si="25"/>
        <v>High Sale</v>
      </c>
      <c r="U165" s="73">
        <f t="shared" si="28"/>
        <v>2719.9</v>
      </c>
      <c r="V165" s="75"/>
      <c r="W165" s="3">
        <f t="shared" si="29"/>
        <v>3</v>
      </c>
      <c r="AK165" s="5"/>
    </row>
    <row r="166" spans="1:37" ht="14.4">
      <c r="A166" s="52" t="s">
        <v>393</v>
      </c>
      <c r="B166" s="53">
        <v>45749</v>
      </c>
      <c r="C166" s="52" t="s">
        <v>123</v>
      </c>
      <c r="D166" s="52" t="s">
        <v>124</v>
      </c>
      <c r="E166" s="52" t="s">
        <v>61</v>
      </c>
      <c r="F166" s="52" t="s">
        <v>62</v>
      </c>
      <c r="G166" s="52" t="s">
        <v>19</v>
      </c>
      <c r="H166" s="52">
        <v>3</v>
      </c>
      <c r="I166" s="52">
        <v>899.99</v>
      </c>
      <c r="J166" s="52" t="s">
        <v>20</v>
      </c>
      <c r="K166" s="52" t="s">
        <v>21</v>
      </c>
      <c r="L166" s="52" t="s">
        <v>36</v>
      </c>
      <c r="M166" s="53">
        <v>44953</v>
      </c>
      <c r="N166" s="54">
        <v>2699.97</v>
      </c>
      <c r="O166" s="32" t="str">
        <f t="shared" si="20"/>
        <v>Apr</v>
      </c>
      <c r="P166" s="32">
        <f t="shared" si="21"/>
        <v>2025</v>
      </c>
      <c r="Q166" s="32">
        <f t="shared" ca="1" si="22"/>
        <v>1328</v>
      </c>
      <c r="R166" s="32">
        <f t="shared" si="23"/>
        <v>45777</v>
      </c>
      <c r="S166" s="55">
        <f t="shared" ca="1" si="24"/>
        <v>46281.656764814812</v>
      </c>
      <c r="T166" s="32" t="str">
        <f t="shared" si="25"/>
        <v>High Sale</v>
      </c>
      <c r="U166" s="73">
        <f t="shared" si="28"/>
        <v>7419.82</v>
      </c>
      <c r="V166" s="75"/>
      <c r="W166" s="3">
        <f t="shared" si="29"/>
        <v>5</v>
      </c>
      <c r="AK166" s="5"/>
    </row>
    <row r="167" spans="1:37" ht="14.4">
      <c r="A167" s="52" t="s">
        <v>394</v>
      </c>
      <c r="B167" s="53">
        <v>45755</v>
      </c>
      <c r="C167" s="52" t="s">
        <v>93</v>
      </c>
      <c r="D167" s="52" t="s">
        <v>94</v>
      </c>
      <c r="E167" s="52" t="s">
        <v>114</v>
      </c>
      <c r="F167" s="52" t="s">
        <v>115</v>
      </c>
      <c r="G167" s="52" t="s">
        <v>33</v>
      </c>
      <c r="H167" s="52">
        <v>3</v>
      </c>
      <c r="I167" s="52">
        <v>79.989999999999995</v>
      </c>
      <c r="J167" s="52" t="s">
        <v>26</v>
      </c>
      <c r="K167" s="52" t="s">
        <v>40</v>
      </c>
      <c r="L167" s="52" t="s">
        <v>22</v>
      </c>
      <c r="M167" s="53">
        <v>44511</v>
      </c>
      <c r="N167" s="54">
        <v>239.97</v>
      </c>
      <c r="O167" s="32" t="str">
        <f t="shared" si="20"/>
        <v>Apr</v>
      </c>
      <c r="P167" s="32">
        <f t="shared" si="21"/>
        <v>2025</v>
      </c>
      <c r="Q167" s="32">
        <f t="shared" ca="1" si="22"/>
        <v>1770</v>
      </c>
      <c r="R167" s="32">
        <f t="shared" si="23"/>
        <v>45777</v>
      </c>
      <c r="S167" s="55">
        <f t="shared" ca="1" si="24"/>
        <v>46281.656764814812</v>
      </c>
      <c r="T167" s="32" t="str">
        <f t="shared" si="25"/>
        <v>Low Sale</v>
      </c>
      <c r="U167" s="73">
        <f t="shared" si="28"/>
        <v>4789.7900000000009</v>
      </c>
      <c r="V167" s="75"/>
      <c r="W167" s="3">
        <f t="shared" si="29"/>
        <v>6</v>
      </c>
      <c r="AK167" s="5"/>
    </row>
    <row r="168" spans="1:37" ht="14.4">
      <c r="A168" s="52" t="s">
        <v>395</v>
      </c>
      <c r="B168" s="53">
        <v>45756</v>
      </c>
      <c r="C168" s="52" t="s">
        <v>59</v>
      </c>
      <c r="D168" s="52" t="s">
        <v>60</v>
      </c>
      <c r="E168" s="52" t="s">
        <v>117</v>
      </c>
      <c r="F168" s="52" t="s">
        <v>118</v>
      </c>
      <c r="G168" s="52" t="s">
        <v>19</v>
      </c>
      <c r="H168" s="52">
        <v>1</v>
      </c>
      <c r="I168" s="52">
        <v>89.99</v>
      </c>
      <c r="J168" s="52" t="s">
        <v>57</v>
      </c>
      <c r="K168" s="52" t="s">
        <v>63</v>
      </c>
      <c r="L168" s="52" t="s">
        <v>22</v>
      </c>
      <c r="M168" s="53">
        <v>45346</v>
      </c>
      <c r="N168" s="54">
        <v>89.99</v>
      </c>
      <c r="O168" s="32" t="str">
        <f t="shared" si="20"/>
        <v>Apr</v>
      </c>
      <c r="P168" s="32">
        <f t="shared" si="21"/>
        <v>2025</v>
      </c>
      <c r="Q168" s="32">
        <f t="shared" ca="1" si="22"/>
        <v>935</v>
      </c>
      <c r="R168" s="32">
        <f t="shared" si="23"/>
        <v>45777</v>
      </c>
      <c r="S168" s="55">
        <f t="shared" ca="1" si="24"/>
        <v>46281.656764814812</v>
      </c>
      <c r="T168" s="32" t="str">
        <f t="shared" si="25"/>
        <v>Low Sale</v>
      </c>
      <c r="U168" s="73">
        <f t="shared" si="28"/>
        <v>3329.9199999999992</v>
      </c>
      <c r="V168" s="75"/>
      <c r="W168" s="3">
        <f t="shared" si="29"/>
        <v>4</v>
      </c>
      <c r="AK168" s="5"/>
    </row>
    <row r="169" spans="1:37" ht="14.4">
      <c r="A169" s="52" t="s">
        <v>396</v>
      </c>
      <c r="B169" s="53">
        <v>45758</v>
      </c>
      <c r="C169" s="52" t="s">
        <v>293</v>
      </c>
      <c r="D169" s="52" t="s">
        <v>294</v>
      </c>
      <c r="E169" s="52" t="s">
        <v>80</v>
      </c>
      <c r="F169" s="52" t="s">
        <v>81</v>
      </c>
      <c r="G169" s="52" t="s">
        <v>19</v>
      </c>
      <c r="H169" s="52">
        <v>3</v>
      </c>
      <c r="I169" s="52">
        <v>699.99</v>
      </c>
      <c r="J169" s="52" t="s">
        <v>34</v>
      </c>
      <c r="K169" s="52" t="s">
        <v>40</v>
      </c>
      <c r="L169" s="52" t="s">
        <v>22</v>
      </c>
      <c r="M169" s="53">
        <v>44909</v>
      </c>
      <c r="N169" s="54">
        <v>2099.9699999999998</v>
      </c>
      <c r="O169" s="32" t="str">
        <f t="shared" si="20"/>
        <v>Apr</v>
      </c>
      <c r="P169" s="32">
        <f t="shared" si="21"/>
        <v>2025</v>
      </c>
      <c r="Q169" s="32">
        <f t="shared" ca="1" si="22"/>
        <v>1372</v>
      </c>
      <c r="R169" s="32">
        <f t="shared" si="23"/>
        <v>45777</v>
      </c>
      <c r="S169" s="55">
        <f t="shared" ca="1" si="24"/>
        <v>46281.656764814812</v>
      </c>
      <c r="T169" s="32" t="str">
        <f t="shared" si="25"/>
        <v>High Sale</v>
      </c>
      <c r="U169" s="73">
        <f t="shared" si="28"/>
        <v>4829.8899999999994</v>
      </c>
      <c r="V169" s="75"/>
      <c r="W169" s="3">
        <f t="shared" si="29"/>
        <v>4</v>
      </c>
      <c r="AK169" s="5"/>
    </row>
    <row r="170" spans="1:37" ht="14.4">
      <c r="A170" s="52" t="s">
        <v>397</v>
      </c>
      <c r="B170" s="53">
        <v>45758</v>
      </c>
      <c r="C170" s="52" t="s">
        <v>226</v>
      </c>
      <c r="D170" s="52" t="s">
        <v>227</v>
      </c>
      <c r="E170" s="52" t="s">
        <v>117</v>
      </c>
      <c r="F170" s="52" t="s">
        <v>118</v>
      </c>
      <c r="G170" s="52" t="s">
        <v>19</v>
      </c>
      <c r="H170" s="52">
        <v>2</v>
      </c>
      <c r="I170" s="52">
        <v>89.99</v>
      </c>
      <c r="J170" s="52" t="s">
        <v>57</v>
      </c>
      <c r="K170" s="52" t="s">
        <v>63</v>
      </c>
      <c r="L170" s="52" t="s">
        <v>22</v>
      </c>
      <c r="M170" s="53">
        <v>45088</v>
      </c>
      <c r="N170" s="54">
        <v>179.98</v>
      </c>
      <c r="O170" s="32" t="str">
        <f t="shared" si="20"/>
        <v>Apr</v>
      </c>
      <c r="P170" s="32">
        <f t="shared" si="21"/>
        <v>2025</v>
      </c>
      <c r="Q170" s="32">
        <f t="shared" ca="1" si="22"/>
        <v>1193</v>
      </c>
      <c r="R170" s="32">
        <f t="shared" si="23"/>
        <v>45777</v>
      </c>
      <c r="S170" s="55">
        <f t="shared" ca="1" si="24"/>
        <v>46281.656764814812</v>
      </c>
      <c r="T170" s="32" t="str">
        <f t="shared" si="25"/>
        <v>Low Sale</v>
      </c>
      <c r="U170" s="73">
        <f t="shared" si="28"/>
        <v>5349.82</v>
      </c>
      <c r="V170" s="75"/>
      <c r="W170" s="3">
        <f t="shared" si="29"/>
        <v>6</v>
      </c>
      <c r="AK170" s="5"/>
    </row>
    <row r="171" spans="1:37" ht="14.4">
      <c r="A171" s="52" t="s">
        <v>398</v>
      </c>
      <c r="B171" s="53">
        <v>45758</v>
      </c>
      <c r="C171" s="52" t="s">
        <v>138</v>
      </c>
      <c r="D171" s="52" t="s">
        <v>139</v>
      </c>
      <c r="E171" s="52" t="s">
        <v>117</v>
      </c>
      <c r="F171" s="52" t="s">
        <v>118</v>
      </c>
      <c r="G171" s="52" t="s">
        <v>19</v>
      </c>
      <c r="H171" s="52">
        <v>3</v>
      </c>
      <c r="I171" s="52">
        <v>89.99</v>
      </c>
      <c r="J171" s="52" t="s">
        <v>57</v>
      </c>
      <c r="K171" s="52" t="s">
        <v>40</v>
      </c>
      <c r="L171" s="52" t="s">
        <v>27</v>
      </c>
      <c r="M171" s="53">
        <v>44878</v>
      </c>
      <c r="N171" s="54">
        <v>269.97000000000003</v>
      </c>
      <c r="O171" s="32" t="str">
        <f t="shared" si="20"/>
        <v>Apr</v>
      </c>
      <c r="P171" s="32">
        <f t="shared" si="21"/>
        <v>2025</v>
      </c>
      <c r="Q171" s="32">
        <f t="shared" ca="1" si="22"/>
        <v>1403</v>
      </c>
      <c r="R171" s="32">
        <f t="shared" si="23"/>
        <v>45777</v>
      </c>
      <c r="S171" s="55">
        <f t="shared" ca="1" si="24"/>
        <v>46281.656764814812</v>
      </c>
      <c r="T171" s="32" t="str">
        <f t="shared" si="25"/>
        <v>Low Sale</v>
      </c>
      <c r="U171" s="73">
        <f t="shared" si="28"/>
        <v>2469.8600000000006</v>
      </c>
      <c r="V171" s="75"/>
      <c r="W171" s="3">
        <f t="shared" si="29"/>
        <v>5</v>
      </c>
      <c r="AK171" s="5"/>
    </row>
    <row r="172" spans="1:37">
      <c r="V172"/>
    </row>
    <row r="173" spans="1:37">
      <c r="V173"/>
    </row>
    <row r="174" spans="1:37">
      <c r="V174"/>
    </row>
    <row r="175" spans="1:37">
      <c r="V175"/>
    </row>
    <row r="176" spans="1:37">
      <c r="V176"/>
    </row>
    <row r="177" spans="22:22">
      <c r="V177"/>
    </row>
    <row r="178" spans="22:22">
      <c r="V178"/>
    </row>
    <row r="179" spans="22:22">
      <c r="V179"/>
    </row>
    <row r="180" spans="22:22">
      <c r="V180"/>
    </row>
    <row r="181" spans="22:22">
      <c r="V181"/>
    </row>
    <row r="182" spans="22:22">
      <c r="V182"/>
    </row>
    <row r="183" spans="22:22">
      <c r="V183"/>
    </row>
    <row r="184" spans="22:22">
      <c r="V184"/>
    </row>
    <row r="185" spans="22:22">
      <c r="V185"/>
    </row>
    <row r="186" spans="22:22">
      <c r="V186"/>
    </row>
    <row r="187" spans="22:22">
      <c r="V187"/>
    </row>
    <row r="188" spans="22:22">
      <c r="V188"/>
    </row>
    <row r="189" spans="22:22">
      <c r="V189"/>
    </row>
    <row r="190" spans="22:22">
      <c r="V190"/>
    </row>
    <row r="191" spans="22:22">
      <c r="V191"/>
    </row>
    <row r="192" spans="22:22">
      <c r="V192"/>
    </row>
    <row r="193" spans="22:22">
      <c r="V193"/>
    </row>
    <row r="194" spans="22:22">
      <c r="V194"/>
    </row>
    <row r="195" spans="22:22">
      <c r="V195"/>
    </row>
    <row r="196" spans="22:22">
      <c r="V196"/>
    </row>
    <row r="197" spans="22:22">
      <c r="V197"/>
    </row>
    <row r="198" spans="22:22">
      <c r="V198"/>
    </row>
    <row r="199" spans="22:22">
      <c r="V199"/>
    </row>
    <row r="200" spans="22:22">
      <c r="V200"/>
    </row>
    <row r="201" spans="22:22">
      <c r="V201"/>
    </row>
    <row r="202" spans="22:22">
      <c r="V202"/>
    </row>
    <row r="203" spans="22:22">
      <c r="V203"/>
    </row>
    <row r="204" spans="22:22">
      <c r="V204"/>
    </row>
    <row r="205" spans="22:22">
      <c r="V205"/>
    </row>
    <row r="206" spans="22:22">
      <c r="V206"/>
    </row>
    <row r="207" spans="22:22">
      <c r="V207"/>
    </row>
    <row r="208" spans="22:22">
      <c r="V208"/>
    </row>
    <row r="209" spans="22:22">
      <c r="V209"/>
    </row>
    <row r="210" spans="22:22">
      <c r="V210"/>
    </row>
    <row r="211" spans="22:22">
      <c r="V211"/>
    </row>
    <row r="212" spans="22:22">
      <c r="V212"/>
    </row>
    <row r="213" spans="22:22">
      <c r="V213"/>
    </row>
    <row r="214" spans="22:22">
      <c r="V214"/>
    </row>
    <row r="215" spans="22:22">
      <c r="V215"/>
    </row>
    <row r="216" spans="22:22">
      <c r="V216"/>
    </row>
    <row r="217" spans="22:22">
      <c r="V217"/>
    </row>
    <row r="218" spans="22:22">
      <c r="V218"/>
    </row>
    <row r="219" spans="22:22">
      <c r="V219"/>
    </row>
    <row r="220" spans="22:22">
      <c r="V220"/>
    </row>
    <row r="221" spans="22:22">
      <c r="V221"/>
    </row>
    <row r="222" spans="22:22">
      <c r="V222"/>
    </row>
    <row r="223" spans="22:22">
      <c r="V223"/>
    </row>
    <row r="224" spans="22:22">
      <c r="V224"/>
    </row>
    <row r="225" spans="22:22">
      <c r="V225"/>
    </row>
    <row r="226" spans="22:22">
      <c r="V226"/>
    </row>
    <row r="227" spans="22:22">
      <c r="V227"/>
    </row>
    <row r="228" spans="22:22">
      <c r="V228"/>
    </row>
    <row r="229" spans="22:22">
      <c r="V229"/>
    </row>
    <row r="230" spans="22:22">
      <c r="V230"/>
    </row>
    <row r="231" spans="22:22">
      <c r="V231"/>
    </row>
    <row r="232" spans="22:22">
      <c r="V232"/>
    </row>
    <row r="233" spans="22:22">
      <c r="V233"/>
    </row>
    <row r="234" spans="22:22">
      <c r="V234"/>
    </row>
    <row r="235" spans="22:22">
      <c r="V235"/>
    </row>
    <row r="236" spans="22:22">
      <c r="V236"/>
    </row>
    <row r="237" spans="22:22">
      <c r="V237"/>
    </row>
    <row r="238" spans="22:22">
      <c r="V238"/>
    </row>
    <row r="239" spans="22:22">
      <c r="V239"/>
    </row>
    <row r="240" spans="22:22">
      <c r="V240"/>
    </row>
    <row r="241" spans="22:22">
      <c r="V241"/>
    </row>
    <row r="242" spans="22:22">
      <c r="V242"/>
    </row>
    <row r="243" spans="22:22">
      <c r="V243"/>
    </row>
    <row r="244" spans="22:22">
      <c r="V244"/>
    </row>
    <row r="245" spans="22:22">
      <c r="V245"/>
    </row>
    <row r="246" spans="22:22">
      <c r="V246"/>
    </row>
    <row r="247" spans="22:22">
      <c r="V247"/>
    </row>
    <row r="248" spans="22:22">
      <c r="V248"/>
    </row>
    <row r="249" spans="22:22">
      <c r="V249"/>
    </row>
    <row r="250" spans="22:22">
      <c r="V250"/>
    </row>
    <row r="251" spans="22:22">
      <c r="V251"/>
    </row>
    <row r="252" spans="22:22">
      <c r="V252"/>
    </row>
    <row r="253" spans="22:22">
      <c r="V253"/>
    </row>
    <row r="254" spans="22:22">
      <c r="V254"/>
    </row>
    <row r="255" spans="22:22">
      <c r="V255"/>
    </row>
    <row r="256" spans="22:22">
      <c r="V256"/>
    </row>
    <row r="257" spans="22:22">
      <c r="V257"/>
    </row>
    <row r="258" spans="22:22">
      <c r="V258"/>
    </row>
    <row r="259" spans="22:22">
      <c r="V259"/>
    </row>
    <row r="260" spans="22:22">
      <c r="V260"/>
    </row>
    <row r="261" spans="22:22">
      <c r="V261"/>
    </row>
    <row r="262" spans="22:22">
      <c r="V262"/>
    </row>
    <row r="263" spans="22:22">
      <c r="V263"/>
    </row>
    <row r="264" spans="22:22">
      <c r="V264"/>
    </row>
    <row r="265" spans="22:22">
      <c r="V265"/>
    </row>
    <row r="266" spans="22:22">
      <c r="V266"/>
    </row>
    <row r="267" spans="22:22">
      <c r="V267"/>
    </row>
    <row r="268" spans="22:22">
      <c r="V268"/>
    </row>
    <row r="269" spans="22:22">
      <c r="V269"/>
    </row>
    <row r="270" spans="22:22">
      <c r="V270"/>
    </row>
    <row r="271" spans="22:22">
      <c r="V271"/>
    </row>
    <row r="272" spans="22:22">
      <c r="V272"/>
    </row>
    <row r="273" spans="22:22">
      <c r="V273"/>
    </row>
    <row r="274" spans="22:22">
      <c r="V274"/>
    </row>
    <row r="275" spans="22:22">
      <c r="V275"/>
    </row>
    <row r="276" spans="22:22">
      <c r="V276"/>
    </row>
    <row r="277" spans="22:22">
      <c r="V277"/>
    </row>
    <row r="278" spans="22:22">
      <c r="V278"/>
    </row>
    <row r="279" spans="22:22">
      <c r="V279"/>
    </row>
    <row r="280" spans="22:22">
      <c r="V280"/>
    </row>
    <row r="281" spans="22:22">
      <c r="V281"/>
    </row>
    <row r="282" spans="22:22">
      <c r="V282"/>
    </row>
    <row r="283" spans="22:22">
      <c r="V283"/>
    </row>
    <row r="284" spans="22:22">
      <c r="V284"/>
    </row>
    <row r="285" spans="22:22">
      <c r="V285"/>
    </row>
    <row r="286" spans="22:22">
      <c r="V286"/>
    </row>
    <row r="287" spans="22:22">
      <c r="V287"/>
    </row>
    <row r="288" spans="22:22">
      <c r="V288"/>
    </row>
    <row r="289" spans="22:22">
      <c r="V289"/>
    </row>
    <row r="290" spans="22:22">
      <c r="V290"/>
    </row>
    <row r="291" spans="22:22">
      <c r="V291"/>
    </row>
    <row r="292" spans="22:22">
      <c r="V292"/>
    </row>
    <row r="293" spans="22:22">
      <c r="V293"/>
    </row>
    <row r="294" spans="22:22">
      <c r="V294"/>
    </row>
    <row r="295" spans="22:22">
      <c r="V295"/>
    </row>
    <row r="296" spans="22:22">
      <c r="V296"/>
    </row>
    <row r="297" spans="22:22">
      <c r="V297"/>
    </row>
    <row r="298" spans="22:22">
      <c r="V298"/>
    </row>
    <row r="299" spans="22:22">
      <c r="V299"/>
    </row>
    <row r="300" spans="22:22">
      <c r="V300"/>
    </row>
    <row r="301" spans="22:22">
      <c r="V301"/>
    </row>
    <row r="302" spans="22:22">
      <c r="V302"/>
    </row>
    <row r="303" spans="22:22">
      <c r="V303"/>
    </row>
    <row r="304" spans="22:22">
      <c r="V304"/>
    </row>
    <row r="305" spans="22:22">
      <c r="V305"/>
    </row>
    <row r="306" spans="22:22">
      <c r="V306"/>
    </row>
    <row r="307" spans="22:22">
      <c r="V307"/>
    </row>
    <row r="308" spans="22:22">
      <c r="V308"/>
    </row>
    <row r="309" spans="22:22">
      <c r="V309"/>
    </row>
    <row r="310" spans="22:22">
      <c r="V310"/>
    </row>
    <row r="311" spans="22:22">
      <c r="V311"/>
    </row>
    <row r="312" spans="22:22">
      <c r="V312"/>
    </row>
    <row r="313" spans="22:22">
      <c r="V313"/>
    </row>
    <row r="314" spans="22:22">
      <c r="V314"/>
    </row>
    <row r="315" spans="22:22">
      <c r="V315"/>
    </row>
    <row r="316" spans="22:22">
      <c r="V316"/>
    </row>
    <row r="317" spans="22:22">
      <c r="V317"/>
    </row>
    <row r="318" spans="22:22">
      <c r="V318"/>
    </row>
    <row r="319" spans="22:22">
      <c r="V319"/>
    </row>
    <row r="320" spans="22:22">
      <c r="V320"/>
    </row>
    <row r="321" spans="22:22">
      <c r="V321"/>
    </row>
    <row r="322" spans="22:22">
      <c r="V322"/>
    </row>
    <row r="323" spans="22:22">
      <c r="V323"/>
    </row>
    <row r="324" spans="22:22">
      <c r="V324"/>
    </row>
    <row r="325" spans="22:22">
      <c r="V325"/>
    </row>
    <row r="326" spans="22:22">
      <c r="V326"/>
    </row>
    <row r="327" spans="22:22">
      <c r="V327"/>
    </row>
    <row r="328" spans="22:22">
      <c r="V328"/>
    </row>
    <row r="329" spans="22:22">
      <c r="V329"/>
    </row>
    <row r="330" spans="22:22">
      <c r="V330"/>
    </row>
    <row r="331" spans="22:22">
      <c r="V331"/>
    </row>
    <row r="332" spans="22:22">
      <c r="V332"/>
    </row>
    <row r="333" spans="22:22">
      <c r="V333"/>
    </row>
    <row r="334" spans="22:22">
      <c r="V334"/>
    </row>
    <row r="335" spans="22:22">
      <c r="V335"/>
    </row>
    <row r="336" spans="22:22">
      <c r="V336"/>
    </row>
    <row r="337" spans="22:22">
      <c r="V337"/>
    </row>
    <row r="338" spans="22:22">
      <c r="V338"/>
    </row>
    <row r="339" spans="22:22">
      <c r="V339"/>
    </row>
    <row r="340" spans="22:22">
      <c r="V340"/>
    </row>
    <row r="341" spans="22:22">
      <c r="V341"/>
    </row>
    <row r="342" spans="22:22">
      <c r="V342"/>
    </row>
    <row r="343" spans="22:22">
      <c r="V343"/>
    </row>
    <row r="344" spans="22:22">
      <c r="V344"/>
    </row>
    <row r="345" spans="22:22">
      <c r="V345"/>
    </row>
    <row r="346" spans="22:22">
      <c r="V346"/>
    </row>
    <row r="347" spans="22:22">
      <c r="V347"/>
    </row>
    <row r="348" spans="22:22">
      <c r="V348"/>
    </row>
    <row r="349" spans="22:22">
      <c r="V349"/>
    </row>
    <row r="350" spans="22:22">
      <c r="V350"/>
    </row>
    <row r="351" spans="22:22">
      <c r="V351"/>
    </row>
    <row r="352" spans="22:22">
      <c r="V352"/>
    </row>
    <row r="353" spans="22:22">
      <c r="V353"/>
    </row>
    <row r="354" spans="22:22">
      <c r="V354"/>
    </row>
    <row r="355" spans="22:22">
      <c r="V355"/>
    </row>
    <row r="356" spans="22:22">
      <c r="V356"/>
    </row>
    <row r="357" spans="22:22">
      <c r="V357"/>
    </row>
    <row r="358" spans="22:22">
      <c r="V358"/>
    </row>
    <row r="359" spans="22:22">
      <c r="V359"/>
    </row>
    <row r="360" spans="22:22">
      <c r="V360"/>
    </row>
    <row r="361" spans="22:22">
      <c r="V361"/>
    </row>
    <row r="362" spans="22:22">
      <c r="V362"/>
    </row>
    <row r="363" spans="22:22">
      <c r="V363"/>
    </row>
    <row r="364" spans="22:22">
      <c r="V364"/>
    </row>
    <row r="365" spans="22:22">
      <c r="V365"/>
    </row>
    <row r="366" spans="22:22">
      <c r="V366"/>
    </row>
    <row r="367" spans="22:22">
      <c r="V367"/>
    </row>
    <row r="368" spans="22:22">
      <c r="V368"/>
    </row>
    <row r="369" spans="22:22">
      <c r="V369"/>
    </row>
    <row r="370" spans="22:22">
      <c r="V370"/>
    </row>
    <row r="371" spans="22:22">
      <c r="V371"/>
    </row>
    <row r="372" spans="22:22">
      <c r="V372"/>
    </row>
    <row r="373" spans="22:22">
      <c r="V373"/>
    </row>
    <row r="374" spans="22:22">
      <c r="V374"/>
    </row>
    <row r="375" spans="22:22">
      <c r="V375"/>
    </row>
    <row r="376" spans="22:22">
      <c r="V376"/>
    </row>
    <row r="377" spans="22:22">
      <c r="V377"/>
    </row>
    <row r="378" spans="22:22">
      <c r="V378"/>
    </row>
    <row r="379" spans="22:22">
      <c r="V379"/>
    </row>
    <row r="380" spans="22:22">
      <c r="V380"/>
    </row>
    <row r="381" spans="22:22">
      <c r="V381"/>
    </row>
    <row r="382" spans="22:22">
      <c r="V382"/>
    </row>
    <row r="383" spans="22:22">
      <c r="V383"/>
    </row>
    <row r="384" spans="22:22">
      <c r="V384"/>
    </row>
    <row r="385" spans="22:22">
      <c r="V385"/>
    </row>
    <row r="386" spans="22:22">
      <c r="V386"/>
    </row>
    <row r="387" spans="22:22">
      <c r="V387"/>
    </row>
    <row r="388" spans="22:22">
      <c r="V388"/>
    </row>
    <row r="389" spans="22:22">
      <c r="V389"/>
    </row>
    <row r="390" spans="22:22">
      <c r="V390"/>
    </row>
    <row r="391" spans="22:22">
      <c r="V391"/>
    </row>
    <row r="392" spans="22:22">
      <c r="V392"/>
    </row>
    <row r="393" spans="22:22">
      <c r="V393"/>
    </row>
    <row r="394" spans="22:22">
      <c r="V394"/>
    </row>
    <row r="395" spans="22:22">
      <c r="V395"/>
    </row>
    <row r="396" spans="22:22">
      <c r="V396"/>
    </row>
    <row r="397" spans="22:22">
      <c r="V397"/>
    </row>
    <row r="398" spans="22:22">
      <c r="V398"/>
    </row>
    <row r="399" spans="22:22">
      <c r="V399"/>
    </row>
    <row r="400" spans="22:22">
      <c r="V400"/>
    </row>
    <row r="401" spans="22:22">
      <c r="V401"/>
    </row>
    <row r="402" spans="22:22">
      <c r="V402"/>
    </row>
    <row r="403" spans="22:22">
      <c r="V403"/>
    </row>
    <row r="404" spans="22:22">
      <c r="V404"/>
    </row>
    <row r="405" spans="22:22">
      <c r="V405"/>
    </row>
    <row r="406" spans="22:22">
      <c r="V406"/>
    </row>
    <row r="407" spans="22:22">
      <c r="V407"/>
    </row>
    <row r="408" spans="22:22">
      <c r="V408"/>
    </row>
    <row r="409" spans="22:22">
      <c r="V409"/>
    </row>
    <row r="410" spans="22:22">
      <c r="V410"/>
    </row>
    <row r="411" spans="22:22">
      <c r="V411"/>
    </row>
    <row r="412" spans="22:22">
      <c r="V412"/>
    </row>
    <row r="413" spans="22:22">
      <c r="V413"/>
    </row>
    <row r="414" spans="22:22">
      <c r="V414"/>
    </row>
    <row r="415" spans="22:22">
      <c r="V415"/>
    </row>
    <row r="416" spans="22:22">
      <c r="V416"/>
    </row>
    <row r="417" spans="22:22">
      <c r="V417"/>
    </row>
    <row r="418" spans="22:22">
      <c r="V418"/>
    </row>
    <row r="419" spans="22:22">
      <c r="V419"/>
    </row>
    <row r="420" spans="22:22">
      <c r="V420"/>
    </row>
    <row r="421" spans="22:22">
      <c r="V421"/>
    </row>
    <row r="422" spans="22:22">
      <c r="V422"/>
    </row>
    <row r="423" spans="22:22">
      <c r="V423"/>
    </row>
    <row r="424" spans="22:22">
      <c r="V424"/>
    </row>
    <row r="425" spans="22:22">
      <c r="V425"/>
    </row>
    <row r="426" spans="22:22">
      <c r="V426"/>
    </row>
    <row r="427" spans="22:22">
      <c r="V427"/>
    </row>
    <row r="428" spans="22:22">
      <c r="V428"/>
    </row>
    <row r="429" spans="22:22">
      <c r="V429"/>
    </row>
    <row r="430" spans="22:22">
      <c r="V430"/>
    </row>
    <row r="431" spans="22:22">
      <c r="V431"/>
    </row>
    <row r="432" spans="22:22">
      <c r="V432"/>
    </row>
    <row r="433" spans="22:22">
      <c r="V433"/>
    </row>
    <row r="434" spans="22:22">
      <c r="V434"/>
    </row>
    <row r="435" spans="22:22">
      <c r="V435"/>
    </row>
    <row r="436" spans="22:22">
      <c r="V436"/>
    </row>
    <row r="437" spans="22:22">
      <c r="V437"/>
    </row>
    <row r="438" spans="22:22">
      <c r="V438"/>
    </row>
    <row r="439" spans="22:22">
      <c r="V439"/>
    </row>
    <row r="440" spans="22:22">
      <c r="V440"/>
    </row>
    <row r="441" spans="22:22">
      <c r="V441"/>
    </row>
    <row r="442" spans="22:22">
      <c r="V442"/>
    </row>
    <row r="443" spans="22:22">
      <c r="V443"/>
    </row>
    <row r="444" spans="22:22">
      <c r="V444"/>
    </row>
    <row r="445" spans="22:22">
      <c r="V445"/>
    </row>
    <row r="446" spans="22:22">
      <c r="V446"/>
    </row>
    <row r="447" spans="22:22">
      <c r="V447"/>
    </row>
    <row r="448" spans="22:22">
      <c r="V448"/>
    </row>
    <row r="449" spans="22:22">
      <c r="V449"/>
    </row>
    <row r="450" spans="22:22">
      <c r="V450"/>
    </row>
    <row r="451" spans="22:22">
      <c r="V451"/>
    </row>
    <row r="452" spans="22:22">
      <c r="V452"/>
    </row>
    <row r="453" spans="22:22">
      <c r="V453"/>
    </row>
    <row r="454" spans="22:22">
      <c r="V454"/>
    </row>
    <row r="455" spans="22:22">
      <c r="V455"/>
    </row>
    <row r="456" spans="22:22">
      <c r="V456"/>
    </row>
    <row r="457" spans="22:22">
      <c r="V457"/>
    </row>
    <row r="458" spans="22:22">
      <c r="V458"/>
    </row>
    <row r="459" spans="22:22">
      <c r="V459"/>
    </row>
    <row r="460" spans="22:22">
      <c r="V460"/>
    </row>
    <row r="461" spans="22:22">
      <c r="V461"/>
    </row>
    <row r="462" spans="22:22">
      <c r="V462"/>
    </row>
    <row r="463" spans="22:22">
      <c r="V463"/>
    </row>
    <row r="464" spans="22:22">
      <c r="V464"/>
    </row>
    <row r="465" spans="22:22">
      <c r="V465"/>
    </row>
    <row r="466" spans="22:22">
      <c r="V466"/>
    </row>
    <row r="467" spans="22:22">
      <c r="V467"/>
    </row>
    <row r="468" spans="22:22">
      <c r="V468"/>
    </row>
    <row r="469" spans="22:22">
      <c r="V469"/>
    </row>
    <row r="470" spans="22:22">
      <c r="V470"/>
    </row>
    <row r="471" spans="22:22">
      <c r="V471"/>
    </row>
    <row r="472" spans="22:22">
      <c r="V472"/>
    </row>
    <row r="473" spans="22:22">
      <c r="V473"/>
    </row>
    <row r="474" spans="22:22">
      <c r="V474"/>
    </row>
    <row r="475" spans="22:22">
      <c r="V475"/>
    </row>
    <row r="476" spans="22:22">
      <c r="V476"/>
    </row>
    <row r="477" spans="22:22">
      <c r="V477"/>
    </row>
    <row r="478" spans="22:22">
      <c r="V478"/>
    </row>
    <row r="479" spans="22:22">
      <c r="V479"/>
    </row>
    <row r="480" spans="22:22">
      <c r="V480"/>
    </row>
    <row r="481" spans="22:22">
      <c r="V481"/>
    </row>
    <row r="482" spans="22:22">
      <c r="V482"/>
    </row>
    <row r="483" spans="22:22">
      <c r="V483"/>
    </row>
    <row r="484" spans="22:22">
      <c r="V484"/>
    </row>
    <row r="485" spans="22:22">
      <c r="V485"/>
    </row>
    <row r="486" spans="22:22">
      <c r="V486"/>
    </row>
    <row r="487" spans="22:22">
      <c r="V487"/>
    </row>
    <row r="488" spans="22:22">
      <c r="V488"/>
    </row>
    <row r="489" spans="22:22">
      <c r="V489"/>
    </row>
    <row r="490" spans="22:22">
      <c r="V490"/>
    </row>
    <row r="491" spans="22:22">
      <c r="V491"/>
    </row>
    <row r="492" spans="22:22">
      <c r="V492"/>
    </row>
    <row r="493" spans="22:22">
      <c r="V493"/>
    </row>
    <row r="494" spans="22:22">
      <c r="V494"/>
    </row>
    <row r="495" spans="22:22">
      <c r="V495"/>
    </row>
    <row r="496" spans="22:22">
      <c r="V496"/>
    </row>
    <row r="497" spans="22:22">
      <c r="V497"/>
    </row>
    <row r="498" spans="22:22">
      <c r="V498"/>
    </row>
    <row r="499" spans="22:22">
      <c r="V499"/>
    </row>
    <row r="500" spans="22:22">
      <c r="V500"/>
    </row>
    <row r="501" spans="22:22">
      <c r="V501"/>
    </row>
    <row r="502" spans="22:22">
      <c r="V502"/>
    </row>
    <row r="503" spans="22:22">
      <c r="V503"/>
    </row>
    <row r="504" spans="22:22">
      <c r="V504"/>
    </row>
    <row r="505" spans="22:22">
      <c r="V505"/>
    </row>
    <row r="506" spans="22:22">
      <c r="V506"/>
    </row>
    <row r="507" spans="22:22">
      <c r="V507"/>
    </row>
    <row r="508" spans="22:22">
      <c r="V508"/>
    </row>
    <row r="509" spans="22:22">
      <c r="V509"/>
    </row>
    <row r="510" spans="22:22">
      <c r="V510"/>
    </row>
    <row r="511" spans="22:22">
      <c r="V511"/>
    </row>
    <row r="512" spans="22:22">
      <c r="V512"/>
    </row>
    <row r="513" spans="22:22">
      <c r="V513"/>
    </row>
    <row r="514" spans="22:22">
      <c r="V514"/>
    </row>
    <row r="515" spans="22:22">
      <c r="V515"/>
    </row>
    <row r="516" spans="22:22">
      <c r="V516"/>
    </row>
    <row r="517" spans="22:22">
      <c r="V517"/>
    </row>
    <row r="518" spans="22:22">
      <c r="V518"/>
    </row>
    <row r="519" spans="22:22">
      <c r="V519"/>
    </row>
    <row r="520" spans="22:22">
      <c r="V520"/>
    </row>
    <row r="521" spans="22:22">
      <c r="V521"/>
    </row>
    <row r="522" spans="22:22">
      <c r="V522"/>
    </row>
    <row r="523" spans="22:22">
      <c r="V523"/>
    </row>
    <row r="524" spans="22:22">
      <c r="V524"/>
    </row>
    <row r="525" spans="22:22">
      <c r="V525"/>
    </row>
    <row r="526" spans="22:22">
      <c r="V526"/>
    </row>
    <row r="527" spans="22:22">
      <c r="V527"/>
    </row>
    <row r="528" spans="22:22">
      <c r="V528"/>
    </row>
    <row r="529" spans="22:22">
      <c r="V529"/>
    </row>
    <row r="530" spans="22:22">
      <c r="V530"/>
    </row>
    <row r="531" spans="22:22">
      <c r="V531"/>
    </row>
    <row r="532" spans="22:22">
      <c r="V532"/>
    </row>
    <row r="533" spans="22:22">
      <c r="V533"/>
    </row>
    <row r="534" spans="22:22">
      <c r="V534"/>
    </row>
    <row r="535" spans="22:22">
      <c r="V535"/>
    </row>
    <row r="536" spans="22:22">
      <c r="V536"/>
    </row>
    <row r="537" spans="22:22">
      <c r="V537"/>
    </row>
    <row r="538" spans="22:22">
      <c r="V538"/>
    </row>
    <row r="539" spans="22:22">
      <c r="V539"/>
    </row>
    <row r="540" spans="22:22">
      <c r="V540"/>
    </row>
    <row r="541" spans="22:22">
      <c r="V541"/>
    </row>
    <row r="542" spans="22:22">
      <c r="V542"/>
    </row>
    <row r="543" spans="22:22">
      <c r="V543"/>
    </row>
    <row r="544" spans="22:22">
      <c r="V544"/>
    </row>
    <row r="545" spans="22:22">
      <c r="V545"/>
    </row>
    <row r="546" spans="22:22">
      <c r="V546"/>
    </row>
    <row r="547" spans="22:22">
      <c r="V547"/>
    </row>
    <row r="548" spans="22:22">
      <c r="V548"/>
    </row>
    <row r="549" spans="22:22">
      <c r="V549"/>
    </row>
    <row r="550" spans="22:22">
      <c r="V550"/>
    </row>
    <row r="551" spans="22:22">
      <c r="V551"/>
    </row>
    <row r="552" spans="22:22">
      <c r="V552"/>
    </row>
    <row r="553" spans="22:22">
      <c r="V553"/>
    </row>
    <row r="554" spans="22:22">
      <c r="V554"/>
    </row>
    <row r="555" spans="22:22">
      <c r="V555"/>
    </row>
    <row r="556" spans="22:22">
      <c r="V556"/>
    </row>
    <row r="557" spans="22:22">
      <c r="V557"/>
    </row>
    <row r="558" spans="22:22">
      <c r="V558"/>
    </row>
    <row r="559" spans="22:22">
      <c r="V559"/>
    </row>
    <row r="560" spans="22:22">
      <c r="V560"/>
    </row>
    <row r="561" spans="22:22">
      <c r="V561"/>
    </row>
    <row r="562" spans="22:22">
      <c r="V562"/>
    </row>
    <row r="563" spans="22:22">
      <c r="V563"/>
    </row>
    <row r="564" spans="22:22">
      <c r="V564"/>
    </row>
    <row r="565" spans="22:22">
      <c r="V565"/>
    </row>
    <row r="566" spans="22:22">
      <c r="V566"/>
    </row>
    <row r="567" spans="22:22">
      <c r="V567"/>
    </row>
    <row r="568" spans="22:22">
      <c r="V568"/>
    </row>
    <row r="569" spans="22:22">
      <c r="V569"/>
    </row>
    <row r="570" spans="22:22">
      <c r="V570"/>
    </row>
    <row r="571" spans="22:22">
      <c r="V571"/>
    </row>
    <row r="572" spans="22:22">
      <c r="V572"/>
    </row>
    <row r="573" spans="22:22">
      <c r="V573"/>
    </row>
    <row r="574" spans="22:22">
      <c r="V574"/>
    </row>
    <row r="575" spans="22:22">
      <c r="V575"/>
    </row>
    <row r="576" spans="22:22">
      <c r="V576"/>
    </row>
    <row r="577" spans="22:22">
      <c r="V577"/>
    </row>
    <row r="578" spans="22:22">
      <c r="V578"/>
    </row>
    <row r="579" spans="22:22">
      <c r="V579"/>
    </row>
    <row r="580" spans="22:22">
      <c r="V580"/>
    </row>
    <row r="581" spans="22:22">
      <c r="V581"/>
    </row>
    <row r="582" spans="22:22">
      <c r="V582"/>
    </row>
    <row r="583" spans="22:22">
      <c r="V583"/>
    </row>
    <row r="584" spans="22:22">
      <c r="V584"/>
    </row>
    <row r="585" spans="22:22">
      <c r="V585"/>
    </row>
    <row r="586" spans="22:22">
      <c r="V586"/>
    </row>
    <row r="587" spans="22:22">
      <c r="V587"/>
    </row>
    <row r="588" spans="22:22">
      <c r="V588"/>
    </row>
    <row r="589" spans="22:22">
      <c r="V589"/>
    </row>
    <row r="590" spans="22:22">
      <c r="V590"/>
    </row>
    <row r="591" spans="22:22">
      <c r="V591"/>
    </row>
    <row r="592" spans="22:22">
      <c r="V592"/>
    </row>
    <row r="593" spans="22:22">
      <c r="V593"/>
    </row>
    <row r="594" spans="22:22">
      <c r="V594"/>
    </row>
    <row r="595" spans="22:22">
      <c r="V595"/>
    </row>
    <row r="596" spans="22:22">
      <c r="V596"/>
    </row>
    <row r="597" spans="22:22">
      <c r="V597"/>
    </row>
    <row r="598" spans="22:22">
      <c r="V598"/>
    </row>
    <row r="599" spans="22:22">
      <c r="V599"/>
    </row>
    <row r="600" spans="22:22">
      <c r="V600"/>
    </row>
    <row r="601" spans="22:22">
      <c r="V601"/>
    </row>
    <row r="602" spans="22:22">
      <c r="V602"/>
    </row>
    <row r="603" spans="22:22">
      <c r="V603"/>
    </row>
    <row r="604" spans="22:22">
      <c r="V604"/>
    </row>
    <row r="605" spans="22:22">
      <c r="V605"/>
    </row>
    <row r="606" spans="22:22">
      <c r="V606"/>
    </row>
    <row r="607" spans="22:22">
      <c r="V607"/>
    </row>
    <row r="608" spans="22:22">
      <c r="V608"/>
    </row>
    <row r="609" spans="22:22">
      <c r="V609"/>
    </row>
    <row r="610" spans="22:22">
      <c r="V610"/>
    </row>
    <row r="611" spans="22:22">
      <c r="V611"/>
    </row>
    <row r="612" spans="22:22">
      <c r="V612"/>
    </row>
    <row r="613" spans="22:22">
      <c r="V613"/>
    </row>
    <row r="614" spans="22:22">
      <c r="V614"/>
    </row>
    <row r="615" spans="22:22">
      <c r="V615"/>
    </row>
    <row r="616" spans="22:22">
      <c r="V616"/>
    </row>
    <row r="617" spans="22:22">
      <c r="V617"/>
    </row>
    <row r="618" spans="22:22">
      <c r="V618"/>
    </row>
    <row r="619" spans="22:22">
      <c r="V619"/>
    </row>
    <row r="620" spans="22:22">
      <c r="V620"/>
    </row>
    <row r="621" spans="22:22">
      <c r="V621"/>
    </row>
    <row r="622" spans="22:22">
      <c r="V622"/>
    </row>
    <row r="623" spans="22:22">
      <c r="V623"/>
    </row>
    <row r="624" spans="22:22">
      <c r="V624"/>
    </row>
    <row r="625" spans="22:22">
      <c r="V625"/>
    </row>
    <row r="626" spans="22:22">
      <c r="V626"/>
    </row>
    <row r="627" spans="22:22">
      <c r="V627"/>
    </row>
    <row r="628" spans="22:22">
      <c r="V628"/>
    </row>
    <row r="629" spans="22:22">
      <c r="V629"/>
    </row>
    <row r="630" spans="22:22">
      <c r="V630"/>
    </row>
    <row r="631" spans="22:22">
      <c r="V631"/>
    </row>
    <row r="632" spans="22:22">
      <c r="V632"/>
    </row>
    <row r="633" spans="22:22">
      <c r="V633"/>
    </row>
    <row r="634" spans="22:22">
      <c r="V634"/>
    </row>
    <row r="635" spans="22:22">
      <c r="V635"/>
    </row>
    <row r="636" spans="22:22">
      <c r="V636"/>
    </row>
    <row r="637" spans="22:22">
      <c r="V637"/>
    </row>
    <row r="638" spans="22:22">
      <c r="V638"/>
    </row>
    <row r="639" spans="22:22">
      <c r="V639"/>
    </row>
    <row r="640" spans="22:22">
      <c r="V640"/>
    </row>
    <row r="641" spans="22:22">
      <c r="V641"/>
    </row>
    <row r="642" spans="22:22">
      <c r="V642"/>
    </row>
    <row r="643" spans="22:22">
      <c r="V643"/>
    </row>
    <row r="644" spans="22:22">
      <c r="V644"/>
    </row>
    <row r="645" spans="22:22">
      <c r="V645"/>
    </row>
    <row r="646" spans="22:22">
      <c r="V646"/>
    </row>
    <row r="647" spans="22:22">
      <c r="V647"/>
    </row>
    <row r="648" spans="22:22">
      <c r="V648"/>
    </row>
    <row r="649" spans="22:22">
      <c r="V649"/>
    </row>
    <row r="650" spans="22:22">
      <c r="V650"/>
    </row>
    <row r="651" spans="22:22">
      <c r="V651"/>
    </row>
    <row r="652" spans="22:22">
      <c r="V652"/>
    </row>
    <row r="653" spans="22:22">
      <c r="V653"/>
    </row>
    <row r="654" spans="22:22">
      <c r="V654"/>
    </row>
    <row r="655" spans="22:22">
      <c r="V655"/>
    </row>
    <row r="656" spans="22:22">
      <c r="V656"/>
    </row>
    <row r="657" spans="22:22">
      <c r="V657"/>
    </row>
    <row r="658" spans="22:22">
      <c r="V658"/>
    </row>
    <row r="659" spans="22:22">
      <c r="V659"/>
    </row>
    <row r="660" spans="22:22">
      <c r="V660"/>
    </row>
    <row r="661" spans="22:22">
      <c r="V661"/>
    </row>
    <row r="662" spans="22:22">
      <c r="V662"/>
    </row>
    <row r="663" spans="22:22">
      <c r="V663"/>
    </row>
    <row r="664" spans="22:22">
      <c r="V664"/>
    </row>
    <row r="665" spans="22:22">
      <c r="V665"/>
    </row>
    <row r="666" spans="22:22">
      <c r="V666"/>
    </row>
    <row r="667" spans="22:22">
      <c r="V667"/>
    </row>
    <row r="668" spans="22:22">
      <c r="V668"/>
    </row>
    <row r="669" spans="22:22">
      <c r="V669"/>
    </row>
    <row r="670" spans="22:22">
      <c r="V670"/>
    </row>
    <row r="671" spans="22:22">
      <c r="V671"/>
    </row>
    <row r="672" spans="22:22">
      <c r="V672"/>
    </row>
    <row r="673" spans="22:22">
      <c r="V673"/>
    </row>
    <row r="674" spans="22:22">
      <c r="V674"/>
    </row>
    <row r="675" spans="22:22">
      <c r="V675"/>
    </row>
    <row r="676" spans="22:22">
      <c r="V676"/>
    </row>
    <row r="677" spans="22:22">
      <c r="V677"/>
    </row>
    <row r="678" spans="22:22">
      <c r="V678"/>
    </row>
    <row r="679" spans="22:22">
      <c r="V679"/>
    </row>
    <row r="680" spans="22:22">
      <c r="V680"/>
    </row>
    <row r="681" spans="22:22">
      <c r="V681"/>
    </row>
    <row r="682" spans="22:22">
      <c r="V682"/>
    </row>
    <row r="683" spans="22:22">
      <c r="V683"/>
    </row>
    <row r="684" spans="22:22">
      <c r="V684"/>
    </row>
    <row r="685" spans="22:22">
      <c r="V685"/>
    </row>
    <row r="686" spans="22:22">
      <c r="V686"/>
    </row>
    <row r="687" spans="22:22">
      <c r="V687"/>
    </row>
    <row r="688" spans="22:22">
      <c r="V688"/>
    </row>
    <row r="689" spans="22:22">
      <c r="V689"/>
    </row>
    <row r="690" spans="22:22">
      <c r="V690"/>
    </row>
    <row r="691" spans="22:22">
      <c r="V691"/>
    </row>
    <row r="692" spans="22:22">
      <c r="V692"/>
    </row>
    <row r="693" spans="22:22">
      <c r="V693"/>
    </row>
    <row r="694" spans="22:22">
      <c r="V694"/>
    </row>
    <row r="695" spans="22:22">
      <c r="V695"/>
    </row>
    <row r="696" spans="22:22">
      <c r="V696"/>
    </row>
    <row r="697" spans="22:22">
      <c r="V697"/>
    </row>
    <row r="698" spans="22:22">
      <c r="V698"/>
    </row>
    <row r="699" spans="22:22">
      <c r="V699"/>
    </row>
    <row r="700" spans="22:22">
      <c r="V700"/>
    </row>
    <row r="701" spans="22:22">
      <c r="V701"/>
    </row>
    <row r="702" spans="22:22">
      <c r="V702"/>
    </row>
    <row r="703" spans="22:22">
      <c r="V703"/>
    </row>
    <row r="704" spans="22:22">
      <c r="V704"/>
    </row>
    <row r="705" spans="22:22">
      <c r="V705"/>
    </row>
    <row r="706" spans="22:22">
      <c r="V706"/>
    </row>
    <row r="707" spans="22:22">
      <c r="V707"/>
    </row>
    <row r="708" spans="22:22">
      <c r="V708"/>
    </row>
    <row r="709" spans="22:22">
      <c r="V709"/>
    </row>
    <row r="710" spans="22:22">
      <c r="V710"/>
    </row>
    <row r="711" spans="22:22">
      <c r="V711"/>
    </row>
    <row r="712" spans="22:22">
      <c r="V712"/>
    </row>
    <row r="713" spans="22:22">
      <c r="V713"/>
    </row>
    <row r="714" spans="22:22">
      <c r="V714"/>
    </row>
    <row r="715" spans="22:22">
      <c r="V715"/>
    </row>
    <row r="716" spans="22:22">
      <c r="V716"/>
    </row>
    <row r="717" spans="22:22">
      <c r="V717"/>
    </row>
    <row r="718" spans="22:22">
      <c r="V718"/>
    </row>
    <row r="719" spans="22:22">
      <c r="V719"/>
    </row>
    <row r="720" spans="22:22">
      <c r="V720"/>
    </row>
    <row r="721" spans="22:22">
      <c r="V721"/>
    </row>
    <row r="722" spans="22:22">
      <c r="V722"/>
    </row>
    <row r="723" spans="22:22">
      <c r="V723"/>
    </row>
    <row r="724" spans="22:22">
      <c r="V724"/>
    </row>
    <row r="725" spans="22:22">
      <c r="V725"/>
    </row>
    <row r="726" spans="22:22">
      <c r="V726"/>
    </row>
    <row r="727" spans="22:22">
      <c r="V727"/>
    </row>
    <row r="728" spans="22:22">
      <c r="V728"/>
    </row>
    <row r="729" spans="22:22">
      <c r="V729"/>
    </row>
    <row r="730" spans="22:22">
      <c r="V730"/>
    </row>
    <row r="731" spans="22:22">
      <c r="V731"/>
    </row>
    <row r="732" spans="22:22">
      <c r="V732"/>
    </row>
    <row r="733" spans="22:22">
      <c r="V733"/>
    </row>
    <row r="734" spans="22:22">
      <c r="V734"/>
    </row>
    <row r="735" spans="22:22">
      <c r="V735"/>
    </row>
    <row r="736" spans="22:22">
      <c r="V736"/>
    </row>
    <row r="737" spans="22:22">
      <c r="V737"/>
    </row>
    <row r="738" spans="22:22">
      <c r="V738"/>
    </row>
    <row r="739" spans="22:22">
      <c r="V739"/>
    </row>
    <row r="740" spans="22:22">
      <c r="V740"/>
    </row>
    <row r="741" spans="22:22">
      <c r="V741"/>
    </row>
    <row r="742" spans="22:22">
      <c r="V742"/>
    </row>
    <row r="743" spans="22:22">
      <c r="V743"/>
    </row>
    <row r="744" spans="22:22">
      <c r="V744"/>
    </row>
    <row r="745" spans="22:22">
      <c r="V745"/>
    </row>
    <row r="746" spans="22:22">
      <c r="V746"/>
    </row>
    <row r="747" spans="22:22">
      <c r="V747"/>
    </row>
    <row r="748" spans="22:22">
      <c r="V748"/>
    </row>
    <row r="749" spans="22:22">
      <c r="V749"/>
    </row>
    <row r="750" spans="22:22">
      <c r="V750"/>
    </row>
    <row r="751" spans="22:22">
      <c r="V751"/>
    </row>
    <row r="752" spans="22:22">
      <c r="V752"/>
    </row>
    <row r="753" spans="22:22">
      <c r="V753"/>
    </row>
    <row r="754" spans="22:22">
      <c r="V754"/>
    </row>
    <row r="755" spans="22:22">
      <c r="V755"/>
    </row>
    <row r="756" spans="22:22">
      <c r="V756"/>
    </row>
    <row r="757" spans="22:22">
      <c r="V757"/>
    </row>
    <row r="758" spans="22:22">
      <c r="V758"/>
    </row>
    <row r="759" spans="22:22">
      <c r="V759"/>
    </row>
    <row r="760" spans="22:22">
      <c r="V760"/>
    </row>
    <row r="761" spans="22:22">
      <c r="V761"/>
    </row>
    <row r="762" spans="22:22">
      <c r="V762"/>
    </row>
    <row r="763" spans="22:22">
      <c r="V763"/>
    </row>
    <row r="764" spans="22:22">
      <c r="V764"/>
    </row>
    <row r="765" spans="22:22">
      <c r="V765"/>
    </row>
    <row r="766" spans="22:22">
      <c r="V766"/>
    </row>
    <row r="767" spans="22:22">
      <c r="V767"/>
    </row>
    <row r="768" spans="22:22">
      <c r="V768"/>
    </row>
    <row r="769" spans="22:22">
      <c r="V769"/>
    </row>
    <row r="770" spans="22:22">
      <c r="V770"/>
    </row>
    <row r="771" spans="22:22">
      <c r="V771"/>
    </row>
    <row r="772" spans="22:22">
      <c r="V772"/>
    </row>
    <row r="773" spans="22:22">
      <c r="V773"/>
    </row>
    <row r="774" spans="22:22">
      <c r="V774"/>
    </row>
    <row r="775" spans="22:22">
      <c r="V775"/>
    </row>
    <row r="776" spans="22:22">
      <c r="V776"/>
    </row>
    <row r="777" spans="22:22">
      <c r="V777"/>
    </row>
    <row r="778" spans="22:22">
      <c r="V778"/>
    </row>
    <row r="779" spans="22:22">
      <c r="V779"/>
    </row>
    <row r="780" spans="22:22">
      <c r="V780"/>
    </row>
    <row r="781" spans="22:22">
      <c r="V781"/>
    </row>
    <row r="782" spans="22:22">
      <c r="V782"/>
    </row>
    <row r="783" spans="22:22">
      <c r="V783"/>
    </row>
    <row r="784" spans="22:22">
      <c r="V784"/>
    </row>
    <row r="785" spans="22:22">
      <c r="V785"/>
    </row>
    <row r="786" spans="22:22">
      <c r="V786"/>
    </row>
    <row r="787" spans="22:22">
      <c r="V787"/>
    </row>
    <row r="788" spans="22:22">
      <c r="V788"/>
    </row>
    <row r="789" spans="22:22">
      <c r="V789"/>
    </row>
    <row r="790" spans="22:22">
      <c r="V790"/>
    </row>
    <row r="791" spans="22:22">
      <c r="V791"/>
    </row>
    <row r="792" spans="22:22">
      <c r="V792"/>
    </row>
    <row r="793" spans="22:22">
      <c r="V793"/>
    </row>
    <row r="794" spans="22:22">
      <c r="V794"/>
    </row>
    <row r="795" spans="22:22">
      <c r="V795"/>
    </row>
    <row r="796" spans="22:22">
      <c r="V796"/>
    </row>
    <row r="797" spans="22:22">
      <c r="V797"/>
    </row>
    <row r="798" spans="22:22">
      <c r="V798"/>
    </row>
    <row r="799" spans="22:22">
      <c r="V799"/>
    </row>
    <row r="800" spans="22:22">
      <c r="V800"/>
    </row>
    <row r="801" spans="22:22">
      <c r="V801"/>
    </row>
    <row r="802" spans="22:22">
      <c r="V802"/>
    </row>
    <row r="803" spans="22:22">
      <c r="V803"/>
    </row>
    <row r="804" spans="22:22">
      <c r="V804"/>
    </row>
    <row r="805" spans="22:22">
      <c r="V805"/>
    </row>
    <row r="806" spans="22:22">
      <c r="V806"/>
    </row>
    <row r="807" spans="22:22">
      <c r="V807"/>
    </row>
    <row r="808" spans="22:22">
      <c r="V808"/>
    </row>
    <row r="809" spans="22:22">
      <c r="V809"/>
    </row>
    <row r="810" spans="22:22">
      <c r="V810"/>
    </row>
    <row r="811" spans="22:22">
      <c r="V811"/>
    </row>
    <row r="812" spans="22:22">
      <c r="V812"/>
    </row>
    <row r="813" spans="22:22">
      <c r="V813"/>
    </row>
    <row r="814" spans="22:22">
      <c r="V814"/>
    </row>
    <row r="815" spans="22:22">
      <c r="V815"/>
    </row>
    <row r="816" spans="22:22">
      <c r="V816"/>
    </row>
    <row r="817" spans="22:22">
      <c r="V817"/>
    </row>
    <row r="818" spans="22:22">
      <c r="V818"/>
    </row>
    <row r="819" spans="22:22">
      <c r="V819"/>
    </row>
    <row r="820" spans="22:22">
      <c r="V820"/>
    </row>
    <row r="821" spans="22:22">
      <c r="V821"/>
    </row>
    <row r="822" spans="22:22">
      <c r="V822"/>
    </row>
    <row r="823" spans="22:22">
      <c r="V823"/>
    </row>
    <row r="824" spans="22:22">
      <c r="V824"/>
    </row>
    <row r="825" spans="22:22">
      <c r="V825"/>
    </row>
    <row r="826" spans="22:22">
      <c r="V826"/>
    </row>
    <row r="827" spans="22:22">
      <c r="V827"/>
    </row>
    <row r="828" spans="22:22">
      <c r="V828"/>
    </row>
    <row r="829" spans="22:22">
      <c r="V829"/>
    </row>
    <row r="830" spans="22:22">
      <c r="V830"/>
    </row>
    <row r="831" spans="22:22">
      <c r="V831"/>
    </row>
    <row r="832" spans="22:22">
      <c r="V832"/>
    </row>
    <row r="833" spans="22:22">
      <c r="V833"/>
    </row>
    <row r="834" spans="22:22">
      <c r="V834"/>
    </row>
    <row r="835" spans="22:22">
      <c r="V835"/>
    </row>
    <row r="836" spans="22:22">
      <c r="V836"/>
    </row>
    <row r="837" spans="22:22">
      <c r="V837"/>
    </row>
    <row r="838" spans="22:22">
      <c r="V838"/>
    </row>
    <row r="839" spans="22:22">
      <c r="V839"/>
    </row>
    <row r="840" spans="22:22">
      <c r="V840"/>
    </row>
    <row r="841" spans="22:22">
      <c r="V841"/>
    </row>
    <row r="842" spans="22:22">
      <c r="V842"/>
    </row>
    <row r="843" spans="22:22">
      <c r="V843"/>
    </row>
    <row r="844" spans="22:22">
      <c r="V844"/>
    </row>
    <row r="845" spans="22:22">
      <c r="V845"/>
    </row>
    <row r="846" spans="22:22">
      <c r="V846"/>
    </row>
    <row r="847" spans="22:22">
      <c r="V847"/>
    </row>
    <row r="848" spans="22:22">
      <c r="V848"/>
    </row>
    <row r="849" spans="22:22">
      <c r="V849"/>
    </row>
    <row r="850" spans="22:22">
      <c r="V850"/>
    </row>
    <row r="851" spans="22:22">
      <c r="V851"/>
    </row>
    <row r="852" spans="22:22">
      <c r="V852"/>
    </row>
    <row r="853" spans="22:22">
      <c r="V853"/>
    </row>
    <row r="854" spans="22:22">
      <c r="V854"/>
    </row>
    <row r="855" spans="22:22">
      <c r="V855"/>
    </row>
    <row r="856" spans="22:22">
      <c r="V856"/>
    </row>
    <row r="857" spans="22:22">
      <c r="V857"/>
    </row>
    <row r="858" spans="22:22">
      <c r="V858"/>
    </row>
    <row r="859" spans="22:22">
      <c r="V859"/>
    </row>
    <row r="860" spans="22:22">
      <c r="V860"/>
    </row>
    <row r="861" spans="22:22">
      <c r="V861"/>
    </row>
    <row r="862" spans="22:22">
      <c r="V862"/>
    </row>
    <row r="863" spans="22:22">
      <c r="V863"/>
    </row>
    <row r="864" spans="22:22">
      <c r="V864"/>
    </row>
    <row r="865" spans="22:22">
      <c r="V865"/>
    </row>
    <row r="866" spans="22:22">
      <c r="V866"/>
    </row>
    <row r="867" spans="22:22">
      <c r="V867"/>
    </row>
    <row r="868" spans="22:22">
      <c r="V868"/>
    </row>
    <row r="869" spans="22:22">
      <c r="V869"/>
    </row>
    <row r="870" spans="22:22">
      <c r="V870"/>
    </row>
    <row r="871" spans="22:22">
      <c r="V871"/>
    </row>
    <row r="872" spans="22:22">
      <c r="V872"/>
    </row>
    <row r="873" spans="22:22">
      <c r="V873"/>
    </row>
    <row r="874" spans="22:22">
      <c r="V874"/>
    </row>
    <row r="875" spans="22:22">
      <c r="V875"/>
    </row>
    <row r="876" spans="22:22">
      <c r="V876"/>
    </row>
    <row r="877" spans="22:22">
      <c r="V877"/>
    </row>
    <row r="878" spans="22:22">
      <c r="V878"/>
    </row>
    <row r="879" spans="22:22">
      <c r="V879"/>
    </row>
    <row r="880" spans="22:22">
      <c r="V880"/>
    </row>
    <row r="881" spans="22:22">
      <c r="V881"/>
    </row>
    <row r="882" spans="22:22">
      <c r="V882"/>
    </row>
    <row r="883" spans="22:22">
      <c r="V883"/>
    </row>
    <row r="884" spans="22:22">
      <c r="V884"/>
    </row>
    <row r="885" spans="22:22">
      <c r="V885"/>
    </row>
    <row r="886" spans="22:22">
      <c r="V886"/>
    </row>
    <row r="887" spans="22:22">
      <c r="V887"/>
    </row>
    <row r="888" spans="22:22">
      <c r="V888"/>
    </row>
    <row r="889" spans="22:22">
      <c r="V889"/>
    </row>
    <row r="890" spans="22:22">
      <c r="V890"/>
    </row>
    <row r="891" spans="22:22">
      <c r="V891"/>
    </row>
    <row r="892" spans="22:22">
      <c r="V892"/>
    </row>
    <row r="893" spans="22:22">
      <c r="V893"/>
    </row>
    <row r="894" spans="22:22">
      <c r="V894"/>
    </row>
    <row r="895" spans="22:22">
      <c r="V895"/>
    </row>
    <row r="896" spans="22:22">
      <c r="V896"/>
    </row>
    <row r="897" spans="22:22">
      <c r="V897"/>
    </row>
    <row r="898" spans="22:22">
      <c r="V898"/>
    </row>
    <row r="899" spans="22:22">
      <c r="V899"/>
    </row>
    <row r="900" spans="22:22">
      <c r="V900"/>
    </row>
    <row r="901" spans="22:22">
      <c r="V901"/>
    </row>
    <row r="902" spans="22:22">
      <c r="V902"/>
    </row>
    <row r="903" spans="22:22">
      <c r="V903"/>
    </row>
    <row r="904" spans="22:22">
      <c r="V904"/>
    </row>
    <row r="905" spans="22:22">
      <c r="V905"/>
    </row>
    <row r="906" spans="22:22">
      <c r="V906"/>
    </row>
    <row r="907" spans="22:22">
      <c r="V907"/>
    </row>
    <row r="908" spans="22:22">
      <c r="V908"/>
    </row>
    <row r="909" spans="22:22">
      <c r="V909"/>
    </row>
    <row r="910" spans="22:22">
      <c r="V910"/>
    </row>
    <row r="911" spans="22:22">
      <c r="V911"/>
    </row>
    <row r="912" spans="22:22">
      <c r="V912"/>
    </row>
    <row r="913" spans="22:22">
      <c r="V913"/>
    </row>
    <row r="914" spans="22:22">
      <c r="V914"/>
    </row>
    <row r="915" spans="22:22">
      <c r="V915"/>
    </row>
    <row r="916" spans="22:22">
      <c r="V916"/>
    </row>
    <row r="917" spans="22:22">
      <c r="V917"/>
    </row>
    <row r="918" spans="22:22">
      <c r="V918"/>
    </row>
    <row r="919" spans="22:22">
      <c r="V919"/>
    </row>
    <row r="920" spans="22:22">
      <c r="V920"/>
    </row>
    <row r="921" spans="22:22">
      <c r="V921"/>
    </row>
    <row r="922" spans="22:22">
      <c r="V922"/>
    </row>
    <row r="923" spans="22:22">
      <c r="V923"/>
    </row>
    <row r="924" spans="22:22">
      <c r="V924"/>
    </row>
    <row r="925" spans="22:22">
      <c r="V925"/>
    </row>
    <row r="926" spans="22:22">
      <c r="V926"/>
    </row>
    <row r="927" spans="22:22">
      <c r="V927"/>
    </row>
    <row r="928" spans="22:22">
      <c r="V928"/>
    </row>
    <row r="929" spans="22:22">
      <c r="V929"/>
    </row>
    <row r="930" spans="22:22">
      <c r="V930"/>
    </row>
    <row r="931" spans="22:22">
      <c r="V931"/>
    </row>
    <row r="932" spans="22:22">
      <c r="V932"/>
    </row>
    <row r="933" spans="22:22">
      <c r="V933"/>
    </row>
    <row r="934" spans="22:22">
      <c r="V934"/>
    </row>
    <row r="935" spans="22:22">
      <c r="V935"/>
    </row>
    <row r="936" spans="22:22">
      <c r="V936"/>
    </row>
    <row r="937" spans="22:22">
      <c r="V937"/>
    </row>
    <row r="938" spans="22:22">
      <c r="V938"/>
    </row>
    <row r="939" spans="22:22">
      <c r="V939"/>
    </row>
    <row r="940" spans="22:22">
      <c r="V940"/>
    </row>
    <row r="941" spans="22:22">
      <c r="V941"/>
    </row>
  </sheetData>
  <conditionalFormatting sqref="N2:N171">
    <cfRule type="top10" dxfId="2" priority="5" rank="5"/>
    <cfRule type="top10" priority="6" rank="5"/>
    <cfRule type="colorScale" priority="7">
      <colorScale>
        <cfvo type="min"/>
        <cfvo type="max"/>
        <color theme="8" tint="0.39997558519241921"/>
        <color theme="8" tint="0.79998168889431442"/>
      </colorScale>
    </cfRule>
  </conditionalFormatting>
  <conditionalFormatting sqref="H2:H171">
    <cfRule type="dataBar" priority="3">
      <dataBar>
        <cfvo type="min"/>
        <cfvo type="max"/>
        <color rgb="FF638EC6"/>
      </dataBar>
      <extLst>
        <ext xmlns:x14="http://schemas.microsoft.com/office/spreadsheetml/2009/9/main" uri="{B025F937-C7B1-47D3-B67F-A62EFF666E3E}">
          <x14:id>{66EEBD93-C71D-421D-90E5-EBA6DA017B90}</x14:id>
        </ext>
      </extLst>
    </cfRule>
  </conditionalFormatting>
  <conditionalFormatting sqref="AC2:AC11">
    <cfRule type="top10" dxfId="1" priority="1" rank="10"/>
    <cfRule type="uniqueValues" dxfId="0" priority="2"/>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6EEBD93-C71D-421D-90E5-EBA6DA017B90}">
            <x14:dataBar minLength="0" maxLength="100" border="1" negativeBarBorderColorSameAsPositive="0">
              <x14:cfvo type="autoMin"/>
              <x14:cfvo type="autoMax"/>
              <x14:borderColor rgb="FF638EC6"/>
              <x14:negativeFillColor rgb="FFFF0000"/>
              <x14:negativeBorderColor rgb="FFFF0000"/>
              <x14:axisColor rgb="FF000000"/>
            </x14:dataBar>
          </x14:cfRule>
          <xm:sqref>H2:H171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1"/>
  <sheetViews>
    <sheetView topLeftCell="C3" zoomScale="95" zoomScaleNormal="70" workbookViewId="0">
      <selection activeCell="D32" sqref="D32"/>
    </sheetView>
  </sheetViews>
  <sheetFormatPr defaultRowHeight="13.8"/>
  <cols>
    <col min="1" max="1" width="19.796875" customWidth="1"/>
    <col min="2" max="2" width="13.59765625" customWidth="1"/>
    <col min="3" max="3" width="13.796875" customWidth="1"/>
    <col min="5" max="5" width="16.59765625" customWidth="1"/>
    <col min="6" max="6" width="13.3984375" customWidth="1"/>
    <col min="7" max="7" width="15.59765625" customWidth="1"/>
    <col min="14" max="14" width="15.8984375" customWidth="1"/>
    <col min="15" max="15" width="15.3984375" customWidth="1"/>
    <col min="16" max="16" width="14.09765625" customWidth="1"/>
    <col min="17" max="17" width="14" customWidth="1"/>
  </cols>
  <sheetData>
    <row r="1" spans="1:16" ht="14.4">
      <c r="B1" s="14"/>
      <c r="C1" s="15"/>
    </row>
    <row r="2" spans="1:16" ht="18" customHeight="1">
      <c r="A2" s="99" t="s">
        <v>441</v>
      </c>
      <c r="B2" s="98"/>
      <c r="C2" s="98"/>
      <c r="D2" s="98"/>
      <c r="F2" s="99" t="s">
        <v>442</v>
      </c>
      <c r="G2" s="98"/>
      <c r="H2" s="98"/>
      <c r="I2" s="98"/>
    </row>
    <row r="3" spans="1:16" ht="14.4">
      <c r="B3" s="16"/>
      <c r="C3" s="17"/>
    </row>
    <row r="4" spans="1:16" ht="15" customHeight="1" thickBot="1">
      <c r="A4" s="40" t="s">
        <v>5</v>
      </c>
      <c r="B4" s="40" t="s">
        <v>8</v>
      </c>
      <c r="C4" s="40" t="s">
        <v>443</v>
      </c>
      <c r="D4" s="40" t="s">
        <v>414</v>
      </c>
      <c r="E4" s="8"/>
      <c r="F4" s="27" t="s">
        <v>5</v>
      </c>
      <c r="G4" s="27" t="s">
        <v>8</v>
      </c>
      <c r="H4" s="27" t="s">
        <v>443</v>
      </c>
      <c r="I4" s="27" t="s">
        <v>414</v>
      </c>
    </row>
    <row r="5" spans="1:16" ht="15" customHeight="1" thickBot="1">
      <c r="A5" s="41" t="s">
        <v>18</v>
      </c>
      <c r="B5" s="42">
        <v>249.99</v>
      </c>
      <c r="C5" s="43">
        <v>1</v>
      </c>
      <c r="D5" s="43">
        <f>B5*C5</f>
        <v>249.99</v>
      </c>
      <c r="E5" s="13"/>
      <c r="F5" s="31" t="s">
        <v>18</v>
      </c>
      <c r="G5" s="31">
        <v>249.99</v>
      </c>
      <c r="H5" s="24">
        <v>20.00080003200128</v>
      </c>
      <c r="I5" s="24">
        <f>G5*H5</f>
        <v>5000</v>
      </c>
    </row>
    <row r="6" spans="1:16" ht="15" customHeight="1" thickBot="1">
      <c r="A6" s="41" t="s">
        <v>32</v>
      </c>
      <c r="B6" s="42">
        <v>59.99</v>
      </c>
      <c r="C6" s="43">
        <v>2</v>
      </c>
      <c r="D6" s="43">
        <f>B6*C6</f>
        <v>119.98</v>
      </c>
      <c r="E6" s="13"/>
      <c r="F6" s="31" t="s">
        <v>32</v>
      </c>
      <c r="G6" s="31">
        <v>59.99</v>
      </c>
      <c r="H6" s="24">
        <v>20.003333888981491</v>
      </c>
      <c r="I6" s="24">
        <f>G6*H6</f>
        <v>1199.9999999999998</v>
      </c>
    </row>
    <row r="7" spans="1:16" ht="15" customHeight="1" thickBot="1">
      <c r="A7" s="41" t="s">
        <v>45</v>
      </c>
      <c r="B7" s="42">
        <v>149.99</v>
      </c>
      <c r="C7" s="43">
        <v>4</v>
      </c>
      <c r="D7" s="43">
        <f>B7*C7</f>
        <v>599.96</v>
      </c>
      <c r="E7" s="13"/>
      <c r="F7" s="31" t="s">
        <v>45</v>
      </c>
      <c r="G7" s="31">
        <v>149.99</v>
      </c>
      <c r="H7" s="24">
        <v>5.3336889125941722</v>
      </c>
      <c r="I7" s="24">
        <f>G7*H7</f>
        <v>799.99999999999989</v>
      </c>
    </row>
    <row r="8" spans="1:16" ht="16.8" customHeight="1" thickBot="1">
      <c r="A8" s="41" t="s">
        <v>53</v>
      </c>
      <c r="B8" s="42">
        <v>149.99</v>
      </c>
      <c r="C8" s="43">
        <v>3</v>
      </c>
      <c r="D8" s="43">
        <f>B8*C8</f>
        <v>449.97</v>
      </c>
      <c r="E8" s="13"/>
      <c r="F8" s="31" t="s">
        <v>53</v>
      </c>
      <c r="G8" s="31">
        <v>149.99</v>
      </c>
      <c r="H8" s="24">
        <v>4.0002666844456298</v>
      </c>
      <c r="I8" s="24">
        <f>G8*H8</f>
        <v>600</v>
      </c>
    </row>
    <row r="9" spans="1:16" ht="15" customHeight="1" thickBot="1">
      <c r="A9" s="41" t="s">
        <v>62</v>
      </c>
      <c r="B9" s="42">
        <v>899.99</v>
      </c>
      <c r="C9" s="43">
        <v>1</v>
      </c>
      <c r="D9" s="43">
        <f>B9*C9</f>
        <v>899.99</v>
      </c>
      <c r="E9" s="13"/>
      <c r="F9" s="31" t="s">
        <v>62</v>
      </c>
      <c r="G9" s="31">
        <v>899.99</v>
      </c>
      <c r="H9" s="24">
        <v>1.444460494005489</v>
      </c>
      <c r="I9" s="24">
        <f>G9*H9</f>
        <v>1300</v>
      </c>
    </row>
    <row r="10" spans="1:16" ht="15" customHeight="1" thickBot="1">
      <c r="B10" s="11"/>
      <c r="C10" s="12"/>
    </row>
    <row r="11" spans="1:16" ht="15" customHeight="1">
      <c r="B11" s="9"/>
      <c r="C11" s="10"/>
    </row>
    <row r="12" spans="1:16" ht="15.6" customHeight="1">
      <c r="A12" s="97" t="s">
        <v>444</v>
      </c>
      <c r="B12" s="98"/>
      <c r="C12" s="98"/>
      <c r="D12" s="98"/>
      <c r="F12" s="97" t="s">
        <v>445</v>
      </c>
      <c r="G12" s="98"/>
      <c r="H12" s="98"/>
      <c r="I12" s="98"/>
      <c r="K12" s="45" t="s">
        <v>446</v>
      </c>
      <c r="L12" s="46"/>
      <c r="M12" s="47"/>
      <c r="N12" s="48"/>
      <c r="O12" s="48"/>
      <c r="P12" s="48"/>
    </row>
    <row r="13" spans="1:16" ht="18.600000000000001" customHeight="1">
      <c r="B13" s="16"/>
      <c r="C13" s="17"/>
      <c r="G13" s="16"/>
      <c r="H13" s="17"/>
      <c r="K13" s="49"/>
      <c r="L13" s="50"/>
      <c r="M13" s="51" t="s">
        <v>447</v>
      </c>
      <c r="N13" s="51" t="s">
        <v>448</v>
      </c>
      <c r="O13" s="51" t="s">
        <v>449</v>
      </c>
      <c r="P13" s="51" t="s">
        <v>450</v>
      </c>
    </row>
    <row r="14" spans="1:16" ht="24" customHeight="1">
      <c r="A14" s="40" t="s">
        <v>5</v>
      </c>
      <c r="B14" s="40" t="s">
        <v>8</v>
      </c>
      <c r="C14" s="40" t="s">
        <v>443</v>
      </c>
      <c r="D14" s="40" t="s">
        <v>414</v>
      </c>
      <c r="F14" s="40" t="s">
        <v>5</v>
      </c>
      <c r="G14" s="40" t="s">
        <v>8</v>
      </c>
      <c r="H14" s="40" t="s">
        <v>443</v>
      </c>
      <c r="I14" s="40" t="s">
        <v>414</v>
      </c>
      <c r="K14" s="20"/>
      <c r="L14" s="20"/>
      <c r="N14" s="44" t="s">
        <v>451</v>
      </c>
      <c r="O14" s="44" t="s">
        <v>451</v>
      </c>
      <c r="P14" s="44" t="s">
        <v>451</v>
      </c>
    </row>
    <row r="15" spans="1:16" ht="14.4">
      <c r="A15" s="41" t="s">
        <v>18</v>
      </c>
      <c r="B15" s="42">
        <v>249.99</v>
      </c>
      <c r="C15" s="43">
        <v>1</v>
      </c>
      <c r="D15" s="43">
        <f>B15*C15</f>
        <v>249.99</v>
      </c>
      <c r="F15" s="41" t="s">
        <v>18</v>
      </c>
      <c r="G15" s="42">
        <v>249.99</v>
      </c>
      <c r="H15" s="43">
        <v>3</v>
      </c>
      <c r="I15" s="43">
        <f>G15*H15</f>
        <v>749.97</v>
      </c>
      <c r="K15" s="33" t="s">
        <v>452</v>
      </c>
      <c r="L15" s="21"/>
      <c r="M15" s="19"/>
      <c r="N15" s="19"/>
      <c r="O15" s="19"/>
      <c r="P15" s="19"/>
    </row>
    <row r="16" spans="1:16" ht="14.4">
      <c r="A16" s="41" t="s">
        <v>32</v>
      </c>
      <c r="B16" s="42">
        <v>59.99</v>
      </c>
      <c r="C16" s="43">
        <v>2</v>
      </c>
      <c r="D16" s="43">
        <f>B16*C16</f>
        <v>119.98</v>
      </c>
      <c r="F16" s="41" t="s">
        <v>32</v>
      </c>
      <c r="G16" s="42">
        <v>59.99</v>
      </c>
      <c r="H16" s="43">
        <v>2</v>
      </c>
      <c r="I16" s="43">
        <f>G16*H16</f>
        <v>119.98</v>
      </c>
      <c r="K16" s="20"/>
      <c r="L16" s="33" t="s">
        <v>453</v>
      </c>
      <c r="M16" s="25">
        <v>3</v>
      </c>
      <c r="N16" s="25">
        <v>7</v>
      </c>
      <c r="O16" s="25">
        <v>1</v>
      </c>
      <c r="P16" s="25">
        <v>3</v>
      </c>
    </row>
    <row r="17" spans="1:16" ht="14.4">
      <c r="A17" s="41" t="s">
        <v>45</v>
      </c>
      <c r="B17" s="42">
        <v>149.99</v>
      </c>
      <c r="C17" s="43">
        <v>4</v>
      </c>
      <c r="D17" s="43">
        <f>B17*C17</f>
        <v>599.96</v>
      </c>
      <c r="F17" s="41" t="s">
        <v>45</v>
      </c>
      <c r="G17" s="42">
        <v>149.99</v>
      </c>
      <c r="H17" s="43">
        <v>4</v>
      </c>
      <c r="I17" s="43">
        <f>G17*H17</f>
        <v>599.96</v>
      </c>
      <c r="K17" s="20"/>
      <c r="L17" s="33" t="s">
        <v>454</v>
      </c>
      <c r="M17" s="25">
        <v>2</v>
      </c>
      <c r="N17" s="25">
        <v>8</v>
      </c>
      <c r="O17" s="25">
        <v>1</v>
      </c>
      <c r="P17" s="25">
        <v>2</v>
      </c>
    </row>
    <row r="18" spans="1:16" ht="14.4">
      <c r="A18" s="41" t="s">
        <v>53</v>
      </c>
      <c r="B18" s="42">
        <v>149.99</v>
      </c>
      <c r="C18" s="43">
        <v>3</v>
      </c>
      <c r="D18" s="43">
        <f>B18*C18</f>
        <v>449.97</v>
      </c>
      <c r="F18" s="41" t="s">
        <v>53</v>
      </c>
      <c r="G18" s="42">
        <v>149.99</v>
      </c>
      <c r="H18" s="43">
        <v>3</v>
      </c>
      <c r="I18" s="43">
        <f>G18*H18</f>
        <v>449.97</v>
      </c>
      <c r="K18" s="20"/>
      <c r="L18" s="33" t="s">
        <v>455</v>
      </c>
      <c r="M18" s="25">
        <v>4</v>
      </c>
      <c r="N18" s="25">
        <v>9</v>
      </c>
      <c r="O18" s="25">
        <v>1</v>
      </c>
      <c r="P18" s="25">
        <v>4</v>
      </c>
    </row>
    <row r="19" spans="1:16" ht="15" customHeight="1">
      <c r="A19" s="41" t="s">
        <v>62</v>
      </c>
      <c r="B19" s="42">
        <v>899.99</v>
      </c>
      <c r="C19" s="43">
        <v>1</v>
      </c>
      <c r="D19" s="43">
        <f>B19*C19</f>
        <v>899.99</v>
      </c>
      <c r="F19" s="41" t="s">
        <v>62</v>
      </c>
      <c r="G19" s="42">
        <v>899.99</v>
      </c>
      <c r="H19" s="43">
        <v>1</v>
      </c>
      <c r="I19" s="43">
        <f>G19*H19</f>
        <v>899.99</v>
      </c>
      <c r="K19" s="20"/>
      <c r="L19" s="33" t="s">
        <v>456</v>
      </c>
      <c r="M19" s="25">
        <v>3</v>
      </c>
      <c r="N19" s="25">
        <v>8</v>
      </c>
      <c r="O19" s="25">
        <v>1</v>
      </c>
      <c r="P19" s="25">
        <v>3</v>
      </c>
    </row>
    <row r="20" spans="1:16" ht="15" customHeight="1" thickBot="1">
      <c r="B20" s="11"/>
      <c r="C20" s="12"/>
      <c r="K20" s="20"/>
      <c r="L20" s="33" t="s">
        <v>457</v>
      </c>
      <c r="M20" s="25">
        <v>1</v>
      </c>
      <c r="N20" s="25">
        <v>9</v>
      </c>
      <c r="O20" s="25">
        <v>1</v>
      </c>
      <c r="P20" s="25">
        <v>1</v>
      </c>
    </row>
    <row r="21" spans="1:16" ht="15" customHeight="1" thickBot="1">
      <c r="B21" s="1"/>
      <c r="C21" s="2"/>
      <c r="K21" s="33" t="s">
        <v>458</v>
      </c>
      <c r="L21" s="21"/>
      <c r="M21" s="19"/>
      <c r="N21" s="19"/>
      <c r="O21" s="19"/>
      <c r="P21" s="19"/>
    </row>
    <row r="22" spans="1:16" ht="15" customHeight="1" thickBot="1">
      <c r="B22" s="1"/>
      <c r="C22" s="2"/>
      <c r="K22" s="22"/>
      <c r="L22" s="33" t="s">
        <v>459</v>
      </c>
      <c r="M22" s="18"/>
      <c r="N22" s="18"/>
      <c r="O22" s="18"/>
      <c r="P22" s="18"/>
    </row>
    <row r="23" spans="1:16" ht="15" customHeight="1" thickBot="1">
      <c r="B23" s="1"/>
      <c r="C23" s="2"/>
      <c r="K23" s="34" t="s">
        <v>460</v>
      </c>
      <c r="L23" s="8"/>
      <c r="M23" s="8"/>
      <c r="N23" s="8"/>
      <c r="O23" s="8"/>
      <c r="P23" s="8"/>
    </row>
    <row r="24" spans="1:16" ht="15" customHeight="1" thickBot="1">
      <c r="B24" s="1"/>
      <c r="C24" s="2"/>
      <c r="K24" s="34" t="s">
        <v>461</v>
      </c>
      <c r="L24" s="8"/>
      <c r="M24" s="8"/>
      <c r="N24" s="8"/>
      <c r="O24" s="8"/>
      <c r="P24" s="8"/>
    </row>
    <row r="25" spans="1:16" ht="15" customHeight="1" thickBot="1">
      <c r="B25" s="1"/>
      <c r="C25" s="2"/>
      <c r="K25" s="34" t="s">
        <v>462</v>
      </c>
      <c r="L25" s="8"/>
      <c r="M25" s="8"/>
      <c r="N25" s="8"/>
      <c r="O25" s="8"/>
      <c r="P25" s="8"/>
    </row>
    <row r="26" spans="1:16" ht="15" customHeight="1" thickBot="1">
      <c r="B26" s="1"/>
      <c r="C26" s="2"/>
    </row>
    <row r="27" spans="1:16" ht="15" customHeight="1" thickBot="1">
      <c r="B27" s="1"/>
      <c r="C27" s="2"/>
    </row>
    <row r="28" spans="1:16" ht="15" customHeight="1" thickBot="1">
      <c r="B28" s="1"/>
      <c r="C28" s="2"/>
    </row>
    <row r="29" spans="1:16" ht="15" customHeight="1" thickBot="1">
      <c r="B29" s="1"/>
      <c r="C29" s="2"/>
    </row>
    <row r="30" spans="1:16" ht="15" customHeight="1" thickBot="1">
      <c r="B30" s="1"/>
      <c r="C30" s="2"/>
    </row>
    <row r="31" spans="1:16" ht="15" customHeight="1" thickBot="1">
      <c r="B31" s="1"/>
      <c r="C31" s="2"/>
    </row>
    <row r="32" spans="1:16" ht="15" customHeight="1" thickBot="1">
      <c r="B32" s="1"/>
      <c r="C32" s="2"/>
    </row>
    <row r="33" spans="2:3" ht="15" customHeight="1" thickBot="1">
      <c r="B33" s="1"/>
      <c r="C33" s="2"/>
    </row>
    <row r="34" spans="2:3" ht="15" customHeight="1" thickBot="1">
      <c r="B34" s="1"/>
      <c r="C34" s="2"/>
    </row>
    <row r="35" spans="2:3" ht="15" customHeight="1" thickBot="1">
      <c r="B35" s="1"/>
      <c r="C35" s="2"/>
    </row>
    <row r="36" spans="2:3" ht="15" customHeight="1" thickBot="1">
      <c r="B36" s="1"/>
      <c r="C36" s="2"/>
    </row>
    <row r="37" spans="2:3" ht="15" customHeight="1" thickBot="1">
      <c r="B37" s="1"/>
      <c r="C37" s="2"/>
    </row>
    <row r="38" spans="2:3" ht="15" customHeight="1" thickBot="1">
      <c r="B38" s="1"/>
      <c r="C38" s="2"/>
    </row>
    <row r="39" spans="2:3" ht="15" customHeight="1" thickBot="1">
      <c r="B39" s="1"/>
      <c r="C39" s="2"/>
    </row>
    <row r="40" spans="2:3" ht="15" customHeight="1" thickBot="1">
      <c r="B40" s="1"/>
      <c r="C40" s="2"/>
    </row>
    <row r="41" spans="2:3" ht="15" customHeight="1" thickBot="1">
      <c r="B41" s="1"/>
      <c r="C41" s="2"/>
    </row>
    <row r="42" spans="2:3" ht="15" customHeight="1" thickBot="1">
      <c r="B42" s="1"/>
      <c r="C42" s="2"/>
    </row>
    <row r="43" spans="2:3" ht="15" customHeight="1" thickBot="1">
      <c r="B43" s="1"/>
      <c r="C43" s="2"/>
    </row>
    <row r="44" spans="2:3" ht="15" customHeight="1" thickBot="1">
      <c r="B44" s="1"/>
      <c r="C44" s="2"/>
    </row>
    <row r="45" spans="2:3" ht="15" customHeight="1" thickBot="1">
      <c r="B45" s="1"/>
      <c r="C45" s="2"/>
    </row>
    <row r="46" spans="2:3" ht="15" customHeight="1" thickBot="1">
      <c r="B46" s="1"/>
      <c r="C46" s="2"/>
    </row>
    <row r="47" spans="2:3" ht="15" customHeight="1" thickBot="1">
      <c r="B47" s="1"/>
      <c r="C47" s="2"/>
    </row>
    <row r="48" spans="2:3" ht="15" customHeight="1" thickBot="1">
      <c r="B48" s="1"/>
      <c r="C48" s="2"/>
    </row>
    <row r="49" spans="2:3" ht="15" customHeight="1" thickBot="1">
      <c r="B49" s="1"/>
      <c r="C49" s="2"/>
    </row>
    <row r="50" spans="2:3" ht="15" customHeight="1" thickBot="1">
      <c r="B50" s="1"/>
      <c r="C50" s="2"/>
    </row>
    <row r="51" spans="2:3" ht="15" customHeight="1" thickBot="1">
      <c r="B51" s="1"/>
      <c r="C51" s="2"/>
    </row>
    <row r="52" spans="2:3" ht="15" customHeight="1" thickBot="1">
      <c r="B52" s="1"/>
      <c r="C52" s="2"/>
    </row>
    <row r="53" spans="2:3" ht="15" customHeight="1" thickBot="1">
      <c r="B53" s="1"/>
      <c r="C53" s="2"/>
    </row>
    <row r="54" spans="2:3" ht="15" customHeight="1" thickBot="1">
      <c r="B54" s="1"/>
      <c r="C54" s="2"/>
    </row>
    <row r="55" spans="2:3" ht="15" customHeight="1" thickBot="1">
      <c r="B55" s="1"/>
      <c r="C55" s="2"/>
    </row>
    <row r="56" spans="2:3" ht="15" customHeight="1" thickBot="1">
      <c r="B56" s="1"/>
      <c r="C56" s="2"/>
    </row>
    <row r="57" spans="2:3" ht="15" customHeight="1" thickBot="1">
      <c r="B57" s="1"/>
      <c r="C57" s="2"/>
    </row>
    <row r="58" spans="2:3" ht="15" customHeight="1" thickBot="1">
      <c r="B58" s="1"/>
      <c r="C58" s="2"/>
    </row>
    <row r="59" spans="2:3" ht="15" customHeight="1" thickBot="1">
      <c r="B59" s="1"/>
      <c r="C59" s="2"/>
    </row>
    <row r="60" spans="2:3" ht="15" customHeight="1" thickBot="1">
      <c r="B60" s="1"/>
      <c r="C60" s="2"/>
    </row>
    <row r="61" spans="2:3" ht="15" customHeight="1" thickBot="1">
      <c r="B61" s="1"/>
      <c r="C61" s="2"/>
    </row>
    <row r="62" spans="2:3" ht="15" customHeight="1" thickBot="1">
      <c r="B62" s="1"/>
      <c r="C62" s="2"/>
    </row>
    <row r="63" spans="2:3" ht="15" customHeight="1" thickBot="1">
      <c r="B63" s="1"/>
      <c r="C63" s="2"/>
    </row>
    <row r="64" spans="2:3" ht="15" customHeight="1" thickBot="1">
      <c r="B64" s="1"/>
      <c r="C64" s="2"/>
    </row>
    <row r="65" spans="2:3" ht="15" customHeight="1" thickBot="1">
      <c r="B65" s="1"/>
      <c r="C65" s="2"/>
    </row>
    <row r="66" spans="2:3" ht="15" customHeight="1" thickBot="1">
      <c r="B66" s="1"/>
      <c r="C66" s="2"/>
    </row>
    <row r="67" spans="2:3" ht="15" customHeight="1" thickBot="1">
      <c r="B67" s="1"/>
      <c r="C67" s="2"/>
    </row>
    <row r="68" spans="2:3" ht="15" customHeight="1" thickBot="1">
      <c r="B68" s="1"/>
      <c r="C68" s="2"/>
    </row>
    <row r="69" spans="2:3" ht="15" customHeight="1" thickBot="1">
      <c r="B69" s="1"/>
      <c r="C69" s="2"/>
    </row>
    <row r="70" spans="2:3" ht="15" customHeight="1" thickBot="1">
      <c r="B70" s="1"/>
      <c r="C70" s="2"/>
    </row>
    <row r="71" spans="2:3" ht="15" customHeight="1" thickBot="1">
      <c r="B71" s="1"/>
      <c r="C71" s="2"/>
    </row>
    <row r="72" spans="2:3" ht="15" customHeight="1" thickBot="1">
      <c r="B72" s="1"/>
      <c r="C72" s="2"/>
    </row>
    <row r="73" spans="2:3" ht="15" customHeight="1" thickBot="1">
      <c r="B73" s="1"/>
      <c r="C73" s="2"/>
    </row>
    <row r="74" spans="2:3" ht="15" customHeight="1" thickBot="1">
      <c r="B74" s="1"/>
      <c r="C74" s="2"/>
    </row>
    <row r="75" spans="2:3" ht="15" customHeight="1" thickBot="1">
      <c r="B75" s="1"/>
      <c r="C75" s="2"/>
    </row>
    <row r="76" spans="2:3" ht="15" customHeight="1" thickBot="1">
      <c r="B76" s="1"/>
      <c r="C76" s="2"/>
    </row>
    <row r="77" spans="2:3" ht="15" customHeight="1" thickBot="1">
      <c r="B77" s="1"/>
      <c r="C77" s="2"/>
    </row>
    <row r="78" spans="2:3" ht="15" customHeight="1" thickBot="1">
      <c r="B78" s="1"/>
      <c r="C78" s="2"/>
    </row>
    <row r="79" spans="2:3" ht="15" customHeight="1" thickBot="1">
      <c r="B79" s="1"/>
      <c r="C79" s="2"/>
    </row>
    <row r="80" spans="2:3" ht="15" customHeight="1" thickBot="1">
      <c r="B80" s="1"/>
      <c r="C80" s="2"/>
    </row>
    <row r="81" spans="2:3" ht="15" customHeight="1" thickBot="1">
      <c r="B81" s="1"/>
      <c r="C81" s="2"/>
    </row>
    <row r="82" spans="2:3" ht="15" customHeight="1" thickBot="1">
      <c r="B82" s="1"/>
      <c r="C82" s="2"/>
    </row>
    <row r="83" spans="2:3" ht="15" customHeight="1" thickBot="1">
      <c r="B83" s="1"/>
      <c r="C83" s="2"/>
    </row>
    <row r="84" spans="2:3" ht="15" customHeight="1" thickBot="1">
      <c r="B84" s="1"/>
      <c r="C84" s="2"/>
    </row>
    <row r="85" spans="2:3" ht="15" customHeight="1" thickBot="1">
      <c r="B85" s="1"/>
      <c r="C85" s="2"/>
    </row>
    <row r="86" spans="2:3" ht="15" customHeight="1" thickBot="1">
      <c r="B86" s="1"/>
      <c r="C86" s="2"/>
    </row>
    <row r="87" spans="2:3" ht="15" customHeight="1" thickBot="1">
      <c r="B87" s="1"/>
      <c r="C87" s="2"/>
    </row>
    <row r="88" spans="2:3" ht="15" customHeight="1" thickBot="1">
      <c r="B88" s="1"/>
      <c r="C88" s="2"/>
    </row>
    <row r="89" spans="2:3" ht="15" customHeight="1" thickBot="1">
      <c r="B89" s="1"/>
      <c r="C89" s="2"/>
    </row>
    <row r="90" spans="2:3" ht="15" customHeight="1" thickBot="1">
      <c r="B90" s="1"/>
      <c r="C90" s="2"/>
    </row>
    <row r="91" spans="2:3" ht="15" customHeight="1" thickBot="1">
      <c r="B91" s="1"/>
      <c r="C91" s="2"/>
    </row>
    <row r="92" spans="2:3" ht="15" customHeight="1" thickBot="1">
      <c r="B92" s="1"/>
      <c r="C92" s="2"/>
    </row>
    <row r="93" spans="2:3" ht="15" customHeight="1" thickBot="1">
      <c r="B93" s="1"/>
      <c r="C93" s="2"/>
    </row>
    <row r="94" spans="2:3" ht="15" customHeight="1" thickBot="1">
      <c r="B94" s="1"/>
      <c r="C94" s="2"/>
    </row>
    <row r="95" spans="2:3" ht="15" customHeight="1" thickBot="1">
      <c r="B95" s="1"/>
      <c r="C95" s="2"/>
    </row>
    <row r="96" spans="2:3" ht="15" customHeight="1" thickBot="1">
      <c r="B96" s="1"/>
      <c r="C96" s="2"/>
    </row>
    <row r="97" spans="2:3" ht="15" customHeight="1" thickBot="1">
      <c r="B97" s="1"/>
      <c r="C97" s="2"/>
    </row>
    <row r="98" spans="2:3" ht="15" customHeight="1" thickBot="1">
      <c r="B98" s="1"/>
      <c r="C98" s="2"/>
    </row>
    <row r="99" spans="2:3" ht="15" customHeight="1" thickBot="1">
      <c r="B99" s="1"/>
      <c r="C99" s="2"/>
    </row>
    <row r="100" spans="2:3" ht="15" customHeight="1" thickBot="1">
      <c r="B100" s="1"/>
      <c r="C100" s="2"/>
    </row>
    <row r="101" spans="2:3" ht="15" customHeight="1" thickBot="1">
      <c r="B101" s="1"/>
      <c r="C101" s="2"/>
    </row>
    <row r="102" spans="2:3" ht="15" customHeight="1" thickBot="1">
      <c r="B102" s="1"/>
      <c r="C102" s="2"/>
    </row>
    <row r="103" spans="2:3" ht="15" customHeight="1" thickBot="1">
      <c r="B103" s="1"/>
      <c r="C103" s="2"/>
    </row>
    <row r="104" spans="2:3" ht="15" customHeight="1" thickBot="1">
      <c r="B104" s="1"/>
      <c r="C104" s="2"/>
    </row>
    <row r="105" spans="2:3" ht="15" customHeight="1" thickBot="1">
      <c r="B105" s="1"/>
      <c r="C105" s="2"/>
    </row>
    <row r="106" spans="2:3" ht="15" customHeight="1" thickBot="1">
      <c r="B106" s="1"/>
      <c r="C106" s="2"/>
    </row>
    <row r="107" spans="2:3" ht="15" customHeight="1" thickBot="1">
      <c r="B107" s="1"/>
      <c r="C107" s="2"/>
    </row>
    <row r="108" spans="2:3" ht="15" customHeight="1" thickBot="1">
      <c r="B108" s="1"/>
      <c r="C108" s="2"/>
    </row>
    <row r="109" spans="2:3" ht="15" customHeight="1" thickBot="1">
      <c r="B109" s="1"/>
      <c r="C109" s="2"/>
    </row>
    <row r="110" spans="2:3" ht="15" customHeight="1" thickBot="1">
      <c r="B110" s="1"/>
      <c r="C110" s="2"/>
    </row>
    <row r="111" spans="2:3" ht="15" customHeight="1" thickBot="1">
      <c r="B111" s="1"/>
      <c r="C111" s="2"/>
    </row>
    <row r="112" spans="2:3" ht="15" customHeight="1" thickBot="1">
      <c r="B112" s="1"/>
      <c r="C112" s="2"/>
    </row>
    <row r="113" spans="2:3" ht="15" customHeight="1" thickBot="1">
      <c r="B113" s="1"/>
      <c r="C113" s="2"/>
    </row>
    <row r="114" spans="2:3" ht="15" customHeight="1" thickBot="1">
      <c r="B114" s="1"/>
      <c r="C114" s="2"/>
    </row>
    <row r="115" spans="2:3" ht="15" customHeight="1" thickBot="1">
      <c r="B115" s="1"/>
      <c r="C115" s="2"/>
    </row>
    <row r="116" spans="2:3" ht="15" customHeight="1" thickBot="1">
      <c r="B116" s="1"/>
      <c r="C116" s="2"/>
    </row>
    <row r="117" spans="2:3" ht="15" customHeight="1" thickBot="1">
      <c r="B117" s="1"/>
      <c r="C117" s="2"/>
    </row>
    <row r="118" spans="2:3" ht="15" customHeight="1" thickBot="1">
      <c r="B118" s="1"/>
      <c r="C118" s="2"/>
    </row>
    <row r="119" spans="2:3" ht="15" customHeight="1" thickBot="1">
      <c r="B119" s="1"/>
      <c r="C119" s="2"/>
    </row>
    <row r="120" spans="2:3" ht="15" customHeight="1" thickBot="1">
      <c r="B120" s="1"/>
      <c r="C120" s="2"/>
    </row>
    <row r="121" spans="2:3" ht="15" customHeight="1" thickBot="1">
      <c r="B121" s="1"/>
      <c r="C121" s="2"/>
    </row>
    <row r="122" spans="2:3" ht="15" customHeight="1" thickBot="1">
      <c r="B122" s="1"/>
      <c r="C122" s="2"/>
    </row>
    <row r="123" spans="2:3" ht="15" customHeight="1" thickBot="1">
      <c r="B123" s="1"/>
      <c r="C123" s="2"/>
    </row>
    <row r="124" spans="2:3" ht="15" customHeight="1" thickBot="1">
      <c r="B124" s="1"/>
      <c r="C124" s="2"/>
    </row>
    <row r="125" spans="2:3" ht="15" customHeight="1" thickBot="1">
      <c r="B125" s="1"/>
      <c r="C125" s="2"/>
    </row>
    <row r="126" spans="2:3" ht="15" customHeight="1" thickBot="1">
      <c r="B126" s="1"/>
      <c r="C126" s="2"/>
    </row>
    <row r="127" spans="2:3" ht="15" customHeight="1" thickBot="1">
      <c r="B127" s="1"/>
      <c r="C127" s="2"/>
    </row>
    <row r="128" spans="2:3" ht="15" customHeight="1" thickBot="1">
      <c r="B128" s="1"/>
      <c r="C128" s="2"/>
    </row>
    <row r="129" spans="2:3" ht="15" customHeight="1" thickBot="1">
      <c r="B129" s="1"/>
      <c r="C129" s="2"/>
    </row>
    <row r="130" spans="2:3" ht="15" customHeight="1" thickBot="1">
      <c r="B130" s="1"/>
      <c r="C130" s="2"/>
    </row>
    <row r="131" spans="2:3" ht="15" customHeight="1" thickBot="1">
      <c r="B131" s="1"/>
      <c r="C131" s="2"/>
    </row>
    <row r="132" spans="2:3" ht="15" customHeight="1" thickBot="1">
      <c r="B132" s="1"/>
      <c r="C132" s="2"/>
    </row>
    <row r="133" spans="2:3" ht="15" customHeight="1" thickBot="1">
      <c r="B133" s="1"/>
      <c r="C133" s="2"/>
    </row>
    <row r="134" spans="2:3" ht="15" customHeight="1" thickBot="1">
      <c r="B134" s="1"/>
      <c r="C134" s="2"/>
    </row>
    <row r="135" spans="2:3" ht="15" customHeight="1" thickBot="1">
      <c r="B135" s="1"/>
      <c r="C135" s="2"/>
    </row>
    <row r="136" spans="2:3" ht="15" customHeight="1" thickBot="1">
      <c r="B136" s="1"/>
      <c r="C136" s="2"/>
    </row>
    <row r="137" spans="2:3" ht="15" customHeight="1" thickBot="1">
      <c r="B137" s="1"/>
      <c r="C137" s="2"/>
    </row>
    <row r="138" spans="2:3" ht="15" customHeight="1" thickBot="1">
      <c r="B138" s="1"/>
      <c r="C138" s="2"/>
    </row>
    <row r="139" spans="2:3" ht="15" customHeight="1" thickBot="1">
      <c r="B139" s="1"/>
      <c r="C139" s="2"/>
    </row>
    <row r="140" spans="2:3" ht="15" customHeight="1" thickBot="1">
      <c r="B140" s="1"/>
      <c r="C140" s="2"/>
    </row>
    <row r="141" spans="2:3" ht="15" customHeight="1" thickBot="1">
      <c r="B141" s="1"/>
      <c r="C141" s="2"/>
    </row>
    <row r="142" spans="2:3" ht="15" customHeight="1" thickBot="1">
      <c r="B142" s="1"/>
      <c r="C142" s="2"/>
    </row>
    <row r="143" spans="2:3" ht="15" customHeight="1" thickBot="1">
      <c r="B143" s="1"/>
      <c r="C143" s="2"/>
    </row>
    <row r="144" spans="2:3" ht="15" customHeight="1" thickBot="1">
      <c r="B144" s="1"/>
      <c r="C144" s="2"/>
    </row>
    <row r="145" spans="2:3" ht="15" customHeight="1" thickBot="1">
      <c r="B145" s="1"/>
      <c r="C145" s="2"/>
    </row>
    <row r="146" spans="2:3" ht="15" customHeight="1" thickBot="1">
      <c r="B146" s="1"/>
      <c r="C146" s="2"/>
    </row>
    <row r="147" spans="2:3" ht="15" customHeight="1" thickBot="1">
      <c r="B147" s="1"/>
      <c r="C147" s="2"/>
    </row>
    <row r="148" spans="2:3" ht="15" customHeight="1" thickBot="1">
      <c r="B148" s="1"/>
      <c r="C148" s="2"/>
    </row>
    <row r="149" spans="2:3" ht="15" customHeight="1" thickBot="1">
      <c r="B149" s="1"/>
      <c r="C149" s="2"/>
    </row>
    <row r="150" spans="2:3" ht="15" customHeight="1" thickBot="1">
      <c r="B150" s="1"/>
      <c r="C150" s="2"/>
    </row>
    <row r="151" spans="2:3" ht="15" customHeight="1" thickBot="1">
      <c r="B151" s="1"/>
      <c r="C151" s="2"/>
    </row>
    <row r="152" spans="2:3" ht="15" customHeight="1" thickBot="1">
      <c r="B152" s="1"/>
      <c r="C152" s="2"/>
    </row>
    <row r="153" spans="2:3" ht="15" customHeight="1" thickBot="1">
      <c r="B153" s="1"/>
      <c r="C153" s="2"/>
    </row>
    <row r="154" spans="2:3" ht="15" customHeight="1" thickBot="1">
      <c r="B154" s="1"/>
      <c r="C154" s="2"/>
    </row>
    <row r="155" spans="2:3" ht="15" customHeight="1" thickBot="1">
      <c r="B155" s="1"/>
      <c r="C155" s="2"/>
    </row>
    <row r="156" spans="2:3" ht="15" customHeight="1" thickBot="1">
      <c r="B156" s="1"/>
      <c r="C156" s="2"/>
    </row>
    <row r="157" spans="2:3" ht="15" customHeight="1" thickBot="1">
      <c r="B157" s="1"/>
      <c r="C157" s="2"/>
    </row>
    <row r="158" spans="2:3" ht="15" customHeight="1" thickBot="1">
      <c r="B158" s="1"/>
      <c r="C158" s="2"/>
    </row>
    <row r="159" spans="2:3" ht="15" customHeight="1" thickBot="1">
      <c r="B159" s="1"/>
      <c r="C159" s="2"/>
    </row>
    <row r="160" spans="2:3" ht="15" customHeight="1" thickBot="1">
      <c r="B160" s="1"/>
      <c r="C160" s="2"/>
    </row>
    <row r="161" spans="2:3" ht="15" customHeight="1" thickBot="1">
      <c r="B161" s="1"/>
      <c r="C161" s="2"/>
    </row>
    <row r="162" spans="2:3" ht="15" customHeight="1" thickBot="1">
      <c r="B162" s="1"/>
      <c r="C162" s="2"/>
    </row>
    <row r="163" spans="2:3" ht="15" customHeight="1" thickBot="1">
      <c r="B163" s="1"/>
      <c r="C163" s="2"/>
    </row>
    <row r="164" spans="2:3" ht="15" customHeight="1" thickBot="1">
      <c r="B164" s="1"/>
      <c r="C164" s="2"/>
    </row>
    <row r="165" spans="2:3" ht="15" customHeight="1" thickBot="1">
      <c r="B165" s="1"/>
      <c r="C165" s="2"/>
    </row>
    <row r="166" spans="2:3" ht="15" customHeight="1" thickBot="1">
      <c r="B166" s="1"/>
      <c r="C166" s="2"/>
    </row>
    <row r="167" spans="2:3" ht="15" customHeight="1" thickBot="1">
      <c r="B167" s="1"/>
      <c r="C167" s="2"/>
    </row>
    <row r="168" spans="2:3" ht="15" customHeight="1" thickBot="1">
      <c r="B168" s="1"/>
      <c r="C168" s="2"/>
    </row>
    <row r="169" spans="2:3" ht="15" customHeight="1" thickBot="1">
      <c r="B169" s="1"/>
      <c r="C169" s="2"/>
    </row>
    <row r="170" spans="2:3" ht="15" customHeight="1" thickBot="1">
      <c r="B170" s="1"/>
      <c r="C170" s="2"/>
    </row>
    <row r="171" spans="2:3" ht="15" customHeight="1" thickBot="1">
      <c r="B171" s="1"/>
      <c r="C171" s="2"/>
    </row>
    <row r="172" spans="2:3" ht="15" customHeight="1" thickBot="1">
      <c r="B172" s="1"/>
      <c r="C172" s="2"/>
    </row>
    <row r="173" spans="2:3" ht="15" customHeight="1" thickBot="1">
      <c r="B173" s="1"/>
      <c r="C173" s="2"/>
    </row>
    <row r="174" spans="2:3" ht="15" customHeight="1" thickBot="1">
      <c r="B174" s="1"/>
      <c r="C174" s="2"/>
    </row>
    <row r="175" spans="2:3" ht="15" customHeight="1" thickBot="1">
      <c r="B175" s="1"/>
      <c r="C175" s="2"/>
    </row>
    <row r="176" spans="2:3" ht="15" customHeight="1" thickBot="1">
      <c r="B176" s="1"/>
      <c r="C176" s="2"/>
    </row>
    <row r="177" spans="2:3" ht="15" customHeight="1" thickBot="1">
      <c r="B177" s="1"/>
      <c r="C177" s="2"/>
    </row>
    <row r="178" spans="2:3" ht="15" customHeight="1" thickBot="1">
      <c r="B178" s="1"/>
      <c r="C178" s="2"/>
    </row>
    <row r="179" spans="2:3" ht="15" customHeight="1" thickBot="1">
      <c r="B179" s="1"/>
      <c r="C179" s="2"/>
    </row>
    <row r="180" spans="2:3" ht="15" customHeight="1" thickBot="1">
      <c r="B180" s="1"/>
      <c r="C180" s="2"/>
    </row>
    <row r="181" spans="2:3" ht="15" customHeight="1" thickBot="1">
      <c r="B181" s="1"/>
      <c r="C181" s="2"/>
    </row>
    <row r="182" spans="2:3" ht="15" customHeight="1" thickBot="1">
      <c r="B182" s="1"/>
      <c r="C182" s="2"/>
    </row>
    <row r="183" spans="2:3" ht="15" customHeight="1" thickBot="1">
      <c r="B183" s="1"/>
      <c r="C183" s="2"/>
    </row>
    <row r="184" spans="2:3" ht="15" customHeight="1" thickBot="1">
      <c r="B184" s="1"/>
      <c r="C184" s="2"/>
    </row>
    <row r="185" spans="2:3" ht="15" customHeight="1" thickBot="1">
      <c r="B185" s="1"/>
      <c r="C185" s="2"/>
    </row>
    <row r="186" spans="2:3" ht="15" customHeight="1" thickBot="1">
      <c r="B186" s="1"/>
      <c r="C186" s="2"/>
    </row>
    <row r="187" spans="2:3" ht="15" customHeight="1" thickBot="1">
      <c r="B187" s="1"/>
      <c r="C187" s="2"/>
    </row>
    <row r="188" spans="2:3" ht="15" customHeight="1" thickBot="1">
      <c r="B188" s="1"/>
      <c r="C188" s="2"/>
    </row>
    <row r="189" spans="2:3" ht="15" customHeight="1" thickBot="1">
      <c r="B189" s="1"/>
      <c r="C189" s="2"/>
    </row>
    <row r="190" spans="2:3" ht="15" customHeight="1" thickBot="1">
      <c r="B190" s="1"/>
      <c r="C190" s="2"/>
    </row>
    <row r="191" spans="2:3" ht="15" customHeight="1" thickBot="1">
      <c r="B191" s="1"/>
      <c r="C191" s="2"/>
    </row>
    <row r="192" spans="2:3" ht="15" customHeight="1" thickBot="1">
      <c r="B192" s="1"/>
      <c r="C192" s="2"/>
    </row>
    <row r="193" spans="2:3" ht="15" customHeight="1" thickBot="1">
      <c r="B193" s="1"/>
      <c r="C193" s="2"/>
    </row>
    <row r="194" spans="2:3" ht="15" customHeight="1" thickBot="1">
      <c r="B194" s="1"/>
      <c r="C194" s="2"/>
    </row>
    <row r="195" spans="2:3" ht="15" customHeight="1" thickBot="1">
      <c r="B195" s="1"/>
      <c r="C195" s="2"/>
    </row>
    <row r="196" spans="2:3" ht="15" customHeight="1" thickBot="1">
      <c r="B196" s="1"/>
      <c r="C196" s="2"/>
    </row>
    <row r="197" spans="2:3" ht="15" customHeight="1" thickBot="1">
      <c r="B197" s="1"/>
      <c r="C197" s="2"/>
    </row>
    <row r="198" spans="2:3" ht="15" customHeight="1" thickBot="1">
      <c r="B198" s="1"/>
      <c r="C198" s="2"/>
    </row>
    <row r="199" spans="2:3" ht="15" customHeight="1" thickBot="1">
      <c r="B199" s="1"/>
      <c r="C199" s="2"/>
    </row>
    <row r="200" spans="2:3" ht="15" customHeight="1" thickBot="1">
      <c r="B200" s="1"/>
      <c r="C200" s="2"/>
    </row>
    <row r="201" spans="2:3" ht="15" customHeight="1" thickBot="1">
      <c r="B201" s="1"/>
      <c r="C201" s="2"/>
    </row>
    <row r="202" spans="2:3" ht="15" customHeight="1" thickBot="1">
      <c r="B202" s="1"/>
      <c r="C202" s="2"/>
    </row>
    <row r="203" spans="2:3" ht="15" customHeight="1" thickBot="1">
      <c r="B203" s="1"/>
      <c r="C203" s="2"/>
    </row>
    <row r="204" spans="2:3" ht="15" customHeight="1" thickBot="1">
      <c r="B204" s="1"/>
      <c r="C204" s="2"/>
    </row>
    <row r="205" spans="2:3" ht="15" customHeight="1" thickBot="1">
      <c r="B205" s="1"/>
      <c r="C205" s="2"/>
    </row>
    <row r="206" spans="2:3" ht="15" customHeight="1" thickBot="1">
      <c r="B206" s="1"/>
      <c r="C206" s="2"/>
    </row>
    <row r="207" spans="2:3" ht="15" customHeight="1" thickBot="1">
      <c r="B207" s="1"/>
      <c r="C207" s="2"/>
    </row>
    <row r="208" spans="2:3" ht="15" customHeight="1" thickBot="1">
      <c r="B208" s="1"/>
      <c r="C208" s="2"/>
    </row>
    <row r="209" spans="2:3" ht="15" customHeight="1" thickBot="1">
      <c r="B209" s="1"/>
      <c r="C209" s="2"/>
    </row>
    <row r="210" spans="2:3" ht="15" customHeight="1" thickBot="1">
      <c r="B210" s="1"/>
      <c r="C210" s="2"/>
    </row>
    <row r="211" spans="2:3" ht="15" customHeight="1" thickBot="1">
      <c r="B211" s="1"/>
      <c r="C211" s="2"/>
    </row>
    <row r="212" spans="2:3" ht="15" customHeight="1" thickBot="1">
      <c r="B212" s="1"/>
      <c r="C212" s="2"/>
    </row>
    <row r="213" spans="2:3" ht="15" customHeight="1" thickBot="1">
      <c r="B213" s="1"/>
      <c r="C213" s="2"/>
    </row>
    <row r="214" spans="2:3" ht="15" customHeight="1" thickBot="1">
      <c r="B214" s="1"/>
      <c r="C214" s="2"/>
    </row>
    <row r="215" spans="2:3" ht="15" customHeight="1" thickBot="1">
      <c r="B215" s="1"/>
      <c r="C215" s="2"/>
    </row>
    <row r="216" spans="2:3" ht="15" customHeight="1" thickBot="1">
      <c r="B216" s="1"/>
      <c r="C216" s="2"/>
    </row>
    <row r="217" spans="2:3" ht="15" customHeight="1" thickBot="1">
      <c r="B217" s="1"/>
      <c r="C217" s="2"/>
    </row>
    <row r="218" spans="2:3" ht="15" customHeight="1" thickBot="1">
      <c r="B218" s="1"/>
      <c r="C218" s="2"/>
    </row>
    <row r="219" spans="2:3" ht="15" customHeight="1" thickBot="1">
      <c r="B219" s="1"/>
      <c r="C219" s="2"/>
    </row>
    <row r="220" spans="2:3" ht="15" customHeight="1" thickBot="1">
      <c r="B220" s="1"/>
      <c r="C220" s="2"/>
    </row>
    <row r="221" spans="2:3" ht="15" customHeight="1" thickBot="1">
      <c r="B221" s="1"/>
      <c r="C221" s="2"/>
    </row>
    <row r="222" spans="2:3" ht="15" customHeight="1" thickBot="1">
      <c r="B222" s="1"/>
      <c r="C222" s="2"/>
    </row>
    <row r="223" spans="2:3" ht="15" customHeight="1" thickBot="1">
      <c r="B223" s="1"/>
      <c r="C223" s="2"/>
    </row>
    <row r="224" spans="2:3" ht="15" customHeight="1" thickBot="1">
      <c r="B224" s="1"/>
      <c r="C224" s="2"/>
    </row>
    <row r="225" spans="2:3" ht="15" customHeight="1" thickBot="1">
      <c r="B225" s="1"/>
      <c r="C225" s="2"/>
    </row>
    <row r="226" spans="2:3" ht="15" customHeight="1" thickBot="1">
      <c r="B226" s="1"/>
      <c r="C226" s="2"/>
    </row>
    <row r="227" spans="2:3" ht="15" customHeight="1" thickBot="1">
      <c r="B227" s="1"/>
      <c r="C227" s="2"/>
    </row>
    <row r="228" spans="2:3" ht="15" customHeight="1" thickBot="1">
      <c r="B228" s="1"/>
      <c r="C228" s="2"/>
    </row>
    <row r="229" spans="2:3" ht="15" customHeight="1" thickBot="1">
      <c r="B229" s="1"/>
      <c r="C229" s="2"/>
    </row>
    <row r="230" spans="2:3" ht="15" customHeight="1" thickBot="1">
      <c r="B230" s="1"/>
      <c r="C230" s="2"/>
    </row>
    <row r="231" spans="2:3" ht="15" customHeight="1" thickBot="1">
      <c r="B231" s="1"/>
      <c r="C231" s="2"/>
    </row>
    <row r="232" spans="2:3" ht="15" customHeight="1" thickBot="1">
      <c r="B232" s="1"/>
      <c r="C232" s="2"/>
    </row>
    <row r="233" spans="2:3" ht="15" customHeight="1" thickBot="1">
      <c r="B233" s="1"/>
      <c r="C233" s="2"/>
    </row>
    <row r="234" spans="2:3" ht="15" customHeight="1" thickBot="1">
      <c r="B234" s="1"/>
      <c r="C234" s="2"/>
    </row>
    <row r="235" spans="2:3" ht="15" customHeight="1" thickBot="1">
      <c r="B235" s="1"/>
      <c r="C235" s="2"/>
    </row>
    <row r="236" spans="2:3" ht="15" customHeight="1" thickBot="1">
      <c r="B236" s="1"/>
      <c r="C236" s="2"/>
    </row>
    <row r="237" spans="2:3" ht="15" customHeight="1" thickBot="1">
      <c r="B237" s="1"/>
      <c r="C237" s="2"/>
    </row>
    <row r="238" spans="2:3" ht="15" customHeight="1" thickBot="1">
      <c r="B238" s="1"/>
      <c r="C238" s="2"/>
    </row>
    <row r="239" spans="2:3" ht="15" customHeight="1" thickBot="1">
      <c r="B239" s="1"/>
      <c r="C239" s="2"/>
    </row>
    <row r="240" spans="2:3" ht="15" customHeight="1" thickBot="1">
      <c r="B240" s="1"/>
      <c r="C240" s="2"/>
    </row>
    <row r="241" spans="2:3" ht="15" customHeight="1" thickBot="1">
      <c r="B241" s="1"/>
      <c r="C241" s="2"/>
    </row>
    <row r="242" spans="2:3" ht="15" customHeight="1" thickBot="1">
      <c r="B242" s="1"/>
      <c r="C242" s="2"/>
    </row>
    <row r="243" spans="2:3" ht="15" customHeight="1" thickBot="1">
      <c r="B243" s="1"/>
      <c r="C243" s="2"/>
    </row>
    <row r="244" spans="2:3" ht="15" customHeight="1" thickBot="1">
      <c r="B244" s="1"/>
      <c r="C244" s="2"/>
    </row>
    <row r="245" spans="2:3" ht="15" customHeight="1" thickBot="1">
      <c r="B245" s="1"/>
      <c r="C245" s="2"/>
    </row>
    <row r="246" spans="2:3" ht="15" customHeight="1" thickBot="1">
      <c r="B246" s="1"/>
      <c r="C246" s="2"/>
    </row>
    <row r="247" spans="2:3" ht="15" customHeight="1" thickBot="1">
      <c r="B247" s="1"/>
      <c r="C247" s="2"/>
    </row>
    <row r="248" spans="2:3" ht="15" customHeight="1" thickBot="1">
      <c r="B248" s="1"/>
      <c r="C248" s="2"/>
    </row>
    <row r="249" spans="2:3" ht="15" customHeight="1" thickBot="1">
      <c r="B249" s="1"/>
      <c r="C249" s="2"/>
    </row>
    <row r="250" spans="2:3" ht="15" customHeight="1" thickBot="1">
      <c r="B250" s="1"/>
      <c r="C250" s="2"/>
    </row>
    <row r="251" spans="2:3" ht="15" customHeight="1" thickBot="1">
      <c r="B251" s="1"/>
      <c r="C251" s="2"/>
    </row>
  </sheetData>
  <scenarios current="1" show="1" sqref="L3">
    <scenario name="High Value" locked="1" count="5" user="Priya" comment="Created by Priya on 22-03-2026_x000a_Modified by Priya on 22-03-2026">
      <inputCells r="H15" val="7"/>
      <inputCells r="H16" val="8"/>
      <inputCells r="H17" val="9"/>
      <inputCells r="H18" val="8"/>
      <inputCells r="H19" val="9"/>
    </scenario>
    <scenario name="Low Value" locked="1" count="5" user="Priya" comment="Created by Priya on 22-03-2026_x000a_Modified by Priya on 22-03-2026">
      <inputCells r="H15" val="1"/>
      <inputCells r="H16" val="1"/>
      <inputCells r="H17" val="1"/>
      <inputCells r="H18" val="1"/>
      <inputCells r="H19" val="1"/>
    </scenario>
    <scenario name="Medium" locked="1" count="5" user="Priya" comment="Created by Priya on 22-03-2026_x000a_Modified by Priya on 22-03-2026">
      <inputCells r="H15" val="3"/>
      <inputCells r="H16" val="2"/>
      <inputCells r="H17" val="4"/>
      <inputCells r="H18" val="3"/>
      <inputCells r="H19" val="1"/>
    </scenario>
  </scenarios>
  <mergeCells count="4">
    <mergeCell ref="A12:D12"/>
    <mergeCell ref="F2:I2"/>
    <mergeCell ref="A2:D2"/>
    <mergeCell ref="F12:I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K18"/>
  <sheetViews>
    <sheetView workbookViewId="0">
      <selection activeCell="D29" sqref="D29"/>
    </sheetView>
  </sheetViews>
  <sheetFormatPr defaultRowHeight="13.8"/>
  <cols>
    <col min="1" max="1" width="15.69921875" style="56" customWidth="1"/>
    <col min="2" max="2" width="16.8984375" style="56" customWidth="1"/>
    <col min="3" max="3" width="13.3984375" style="56" customWidth="1"/>
    <col min="4" max="4" width="16.296875" style="56" customWidth="1"/>
    <col min="5" max="5" width="16.69921875" style="56" customWidth="1"/>
    <col min="6" max="6" width="18" style="56" customWidth="1"/>
    <col min="7" max="7" width="13.296875" style="56" customWidth="1"/>
    <col min="8" max="8" width="15.19921875" style="56" customWidth="1"/>
    <col min="9" max="9" width="13.296875" style="56" customWidth="1"/>
    <col min="10" max="10" width="12.796875" style="56" customWidth="1"/>
    <col min="11" max="11" width="13.296875" style="56" customWidth="1"/>
    <col min="12" max="16384" width="8.796875" style="56"/>
  </cols>
  <sheetData>
    <row r="1" spans="3:11" ht="18" customHeight="1">
      <c r="C1" s="100" t="s">
        <v>399</v>
      </c>
      <c r="D1" s="101"/>
      <c r="E1" s="101"/>
      <c r="F1" s="101"/>
      <c r="G1" s="101"/>
      <c r="H1" s="101"/>
      <c r="I1" s="101"/>
      <c r="J1" s="101"/>
      <c r="K1" s="102"/>
    </row>
    <row r="3" spans="3:11" ht="15.6" customHeight="1">
      <c r="F3" s="36" t="s">
        <v>400</v>
      </c>
      <c r="G3" s="23"/>
    </row>
    <row r="4" spans="3:11">
      <c r="F4" s="35" t="s">
        <v>401</v>
      </c>
      <c r="G4" s="35">
        <v>0.45809869406349091</v>
      </c>
    </row>
    <row r="5" spans="3:11">
      <c r="F5" s="35" t="s">
        <v>402</v>
      </c>
      <c r="G5" s="35">
        <v>0.20985441350267589</v>
      </c>
    </row>
    <row r="6" spans="3:11">
      <c r="F6" s="35" t="s">
        <v>403</v>
      </c>
      <c r="G6" s="35">
        <v>0.20665544351685669</v>
      </c>
    </row>
    <row r="7" spans="3:11">
      <c r="F7" s="35" t="s">
        <v>404</v>
      </c>
      <c r="G7" s="35">
        <v>921.40854264214693</v>
      </c>
    </row>
    <row r="8" spans="3:11">
      <c r="F8" s="35" t="s">
        <v>405</v>
      </c>
      <c r="G8" s="35">
        <v>249</v>
      </c>
    </row>
    <row r="10" spans="3:11" ht="18" customHeight="1">
      <c r="C10" s="103" t="s">
        <v>406</v>
      </c>
      <c r="D10" s="104"/>
      <c r="E10" s="104"/>
      <c r="F10" s="104"/>
      <c r="G10" s="104"/>
      <c r="H10" s="104"/>
    </row>
    <row r="11" spans="3:11" ht="14.4">
      <c r="C11" s="39"/>
      <c r="D11" s="37" t="s">
        <v>407</v>
      </c>
      <c r="E11" s="37" t="s">
        <v>408</v>
      </c>
      <c r="F11" s="37" t="s">
        <v>409</v>
      </c>
      <c r="G11" s="37" t="s">
        <v>410</v>
      </c>
      <c r="H11" s="37" t="s">
        <v>411</v>
      </c>
    </row>
    <row r="12" spans="3:11">
      <c r="C12" s="35" t="s">
        <v>412</v>
      </c>
      <c r="D12" s="35">
        <v>1</v>
      </c>
      <c r="E12" s="35">
        <v>55694513.010666132</v>
      </c>
      <c r="F12" s="35">
        <v>55694513.010666132</v>
      </c>
      <c r="G12" s="35">
        <v>65.600619709765951</v>
      </c>
      <c r="H12" s="35">
        <v>2.5391277291094679E-14</v>
      </c>
    </row>
    <row r="13" spans="3:11">
      <c r="C13" s="35" t="s">
        <v>413</v>
      </c>
      <c r="D13" s="35">
        <v>247</v>
      </c>
      <c r="E13" s="35">
        <v>209701444.50611949</v>
      </c>
      <c r="F13" s="35">
        <v>848993.70245392516</v>
      </c>
      <c r="G13" s="38"/>
      <c r="H13" s="38"/>
    </row>
    <row r="14" spans="3:11">
      <c r="C14" s="35" t="s">
        <v>414</v>
      </c>
      <c r="D14" s="35">
        <v>248</v>
      </c>
      <c r="E14" s="35">
        <v>265395957.51678571</v>
      </c>
      <c r="F14" s="38"/>
      <c r="G14" s="38"/>
      <c r="H14" s="38"/>
    </row>
    <row r="16" spans="3:11" ht="14.4">
      <c r="C16" s="57"/>
      <c r="D16" s="58" t="s">
        <v>415</v>
      </c>
      <c r="E16" s="58" t="s">
        <v>404</v>
      </c>
      <c r="F16" s="58" t="s">
        <v>416</v>
      </c>
      <c r="G16" s="58" t="s">
        <v>417</v>
      </c>
      <c r="H16" s="58" t="s">
        <v>418</v>
      </c>
      <c r="I16" s="58" t="s">
        <v>419</v>
      </c>
      <c r="J16" s="58" t="s">
        <v>420</v>
      </c>
      <c r="K16" s="58" t="s">
        <v>421</v>
      </c>
    </row>
    <row r="17" spans="3:11">
      <c r="C17" s="59" t="s">
        <v>422</v>
      </c>
      <c r="D17" s="59">
        <v>-148.18856276399691</v>
      </c>
      <c r="E17" s="59">
        <v>143.94399015159911</v>
      </c>
      <c r="F17" s="59">
        <v>-1.029487668140417</v>
      </c>
      <c r="G17" s="59">
        <v>0.30425761488766012</v>
      </c>
      <c r="H17" s="59">
        <v>-431.70276968654099</v>
      </c>
      <c r="I17" s="59">
        <v>135.32564415854731</v>
      </c>
      <c r="J17" s="59">
        <v>-431.70276968654099</v>
      </c>
      <c r="K17" s="59">
        <v>135.32564415854731</v>
      </c>
    </row>
    <row r="18" spans="3:11">
      <c r="C18" s="59">
        <v>3</v>
      </c>
      <c r="D18" s="59">
        <v>353.78860283764737</v>
      </c>
      <c r="E18" s="59">
        <v>43.680727926547888</v>
      </c>
      <c r="F18" s="59">
        <v>8.099420949041118</v>
      </c>
      <c r="G18" s="59">
        <v>2.5391277291093211E-14</v>
      </c>
      <c r="H18" s="59">
        <v>267.75439659637289</v>
      </c>
      <c r="I18" s="59">
        <v>439.82280907892181</v>
      </c>
      <c r="J18" s="59">
        <v>267.75439659637289</v>
      </c>
      <c r="K18" s="59">
        <v>439.82280907892181</v>
      </c>
    </row>
  </sheetData>
  <mergeCells count="2">
    <mergeCell ref="C1:K1"/>
    <mergeCell ref="C10:H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5"/>
  <sheetViews>
    <sheetView topLeftCell="A7" zoomScale="79" zoomScaleNormal="100" workbookViewId="0">
      <selection activeCell="G44" sqref="G44"/>
    </sheetView>
  </sheetViews>
  <sheetFormatPr defaultRowHeight="13.8"/>
  <cols>
    <col min="1" max="1" width="15.69921875" bestFit="1" customWidth="1"/>
    <col min="2" max="2" width="19" bestFit="1" customWidth="1"/>
    <col min="3" max="3" width="13.59765625" customWidth="1"/>
    <col min="4" max="4" width="15.69921875" bestFit="1" customWidth="1"/>
    <col min="5" max="5" width="19" bestFit="1" customWidth="1"/>
    <col min="6" max="6" width="12.3984375" customWidth="1"/>
    <col min="7" max="7" width="15.69921875" bestFit="1" customWidth="1"/>
    <col min="8" max="8" width="19" bestFit="1" customWidth="1"/>
    <col min="9" max="9" width="8.3984375" customWidth="1"/>
    <col min="10" max="10" width="7.796875" customWidth="1"/>
    <col min="11" max="11" width="14.3984375" customWidth="1"/>
    <col min="12" max="12" width="18.296875" customWidth="1"/>
    <col min="13" max="13" width="11.8984375" customWidth="1"/>
    <col min="15" max="15" width="14.8984375" customWidth="1"/>
    <col min="16" max="16" width="18" customWidth="1"/>
    <col min="17" max="17" width="8.8984375" customWidth="1"/>
    <col min="19" max="19" width="14.296875" customWidth="1"/>
    <col min="20" max="20" width="18.19921875" customWidth="1"/>
    <col min="23" max="23" width="14.8984375" customWidth="1"/>
    <col min="24" max="24" width="18" customWidth="1"/>
  </cols>
  <sheetData>
    <row r="1" spans="1:13" ht="15.6" customHeight="1">
      <c r="A1" s="103" t="s">
        <v>423</v>
      </c>
      <c r="B1" s="106"/>
      <c r="D1" s="109" t="s">
        <v>424</v>
      </c>
      <c r="E1" s="108"/>
      <c r="F1" s="60"/>
      <c r="G1" s="109" t="s">
        <v>425</v>
      </c>
      <c r="H1" s="108"/>
      <c r="I1" s="108"/>
      <c r="K1" s="107" t="s">
        <v>431</v>
      </c>
      <c r="L1" s="108"/>
      <c r="M1" s="108"/>
    </row>
    <row r="3" spans="1:13">
      <c r="A3" s="64" t="s">
        <v>428</v>
      </c>
      <c r="B3" s="64" t="s">
        <v>429</v>
      </c>
      <c r="D3" s="64" t="s">
        <v>428</v>
      </c>
      <c r="E3" s="64" t="s">
        <v>429</v>
      </c>
      <c r="G3" s="64" t="s">
        <v>428</v>
      </c>
      <c r="H3" s="64" t="s">
        <v>429</v>
      </c>
      <c r="K3" s="61" t="s">
        <v>432</v>
      </c>
      <c r="L3" s="35" t="s">
        <v>433</v>
      </c>
      <c r="M3" s="35" t="s">
        <v>434</v>
      </c>
    </row>
    <row r="4" spans="1:13">
      <c r="A4" s="5" t="s">
        <v>326</v>
      </c>
      <c r="B4" s="63">
        <v>1559.94</v>
      </c>
      <c r="D4" s="5" t="s">
        <v>32</v>
      </c>
      <c r="E4" s="6">
        <v>5219.1299999999974</v>
      </c>
      <c r="G4" s="5" t="s">
        <v>21</v>
      </c>
      <c r="H4" s="6">
        <v>41288.340000000018</v>
      </c>
      <c r="K4" s="62">
        <f>SUM(Table2[Total_Amount])</f>
        <v>155764.67000000013</v>
      </c>
      <c r="L4" s="35">
        <v>50</v>
      </c>
      <c r="M4" s="35">
        <f>AVERAGE(Analysis!N:N)</f>
        <v>916.26276470588311</v>
      </c>
    </row>
    <row r="5" spans="1:13">
      <c r="A5" s="5" t="s">
        <v>97</v>
      </c>
      <c r="B5" s="63">
        <v>10649.8</v>
      </c>
      <c r="D5" s="5" t="s">
        <v>45</v>
      </c>
      <c r="E5" s="6">
        <v>15298.979999999994</v>
      </c>
      <c r="G5" s="5" t="s">
        <v>63</v>
      </c>
      <c r="H5" s="6">
        <v>59288.389999999992</v>
      </c>
    </row>
    <row r="6" spans="1:13">
      <c r="A6" s="88" t="s">
        <v>159</v>
      </c>
      <c r="B6" s="87">
        <v>5649.84</v>
      </c>
      <c r="D6" s="5" t="s">
        <v>115</v>
      </c>
      <c r="E6" s="6">
        <v>3119.6099999999992</v>
      </c>
      <c r="G6" s="5" t="s">
        <v>40</v>
      </c>
      <c r="H6" s="6">
        <v>50808.310000000012</v>
      </c>
    </row>
    <row r="7" spans="1:13">
      <c r="A7" s="88" t="s">
        <v>232</v>
      </c>
      <c r="B7" s="87">
        <v>1149.93</v>
      </c>
      <c r="D7" s="5" t="s">
        <v>106</v>
      </c>
      <c r="E7" s="6">
        <v>23399.22</v>
      </c>
      <c r="G7" s="5" t="s">
        <v>35</v>
      </c>
      <c r="H7" s="6">
        <v>36398.750000000007</v>
      </c>
    </row>
    <row r="8" spans="1:13">
      <c r="A8" s="88" t="s">
        <v>56</v>
      </c>
      <c r="B8" s="87">
        <v>5089.7300000000005</v>
      </c>
      <c r="D8" s="5" t="s">
        <v>53</v>
      </c>
      <c r="E8" s="6">
        <v>7049.5299999999988</v>
      </c>
      <c r="G8" s="5" t="s">
        <v>50</v>
      </c>
      <c r="H8" s="6">
        <v>41408.680000000015</v>
      </c>
    </row>
    <row r="9" spans="1:13">
      <c r="A9" s="88" t="s">
        <v>103</v>
      </c>
      <c r="B9" s="87">
        <v>3769.8300000000004</v>
      </c>
      <c r="D9" s="5" t="s">
        <v>118</v>
      </c>
      <c r="E9" s="6">
        <v>8009.1099999999969</v>
      </c>
      <c r="G9" s="5" t="s">
        <v>430</v>
      </c>
      <c r="H9" s="6">
        <v>229192.47000000006</v>
      </c>
    </row>
    <row r="10" spans="1:13">
      <c r="A10" s="88" t="s">
        <v>148</v>
      </c>
      <c r="B10" s="87">
        <v>7309.7999999999993</v>
      </c>
      <c r="D10" s="5" t="s">
        <v>62</v>
      </c>
      <c r="E10" s="6">
        <v>67499.25</v>
      </c>
    </row>
    <row r="11" spans="1:13">
      <c r="A11" s="88" t="s">
        <v>183</v>
      </c>
      <c r="B11" s="87">
        <v>1809.84</v>
      </c>
      <c r="D11" s="5" t="s">
        <v>18</v>
      </c>
      <c r="E11" s="6">
        <v>21999.119999999999</v>
      </c>
    </row>
    <row r="12" spans="1:13" ht="15.6">
      <c r="A12" s="88" t="s">
        <v>76</v>
      </c>
      <c r="B12" s="87">
        <v>479.91999999999996</v>
      </c>
      <c r="D12" s="5" t="s">
        <v>127</v>
      </c>
      <c r="E12" s="6">
        <v>10399.479999999998</v>
      </c>
      <c r="G12" s="110" t="s">
        <v>427</v>
      </c>
      <c r="H12" s="111"/>
      <c r="I12" s="111"/>
    </row>
    <row r="13" spans="1:13">
      <c r="A13" s="88" t="s">
        <v>49</v>
      </c>
      <c r="B13" s="87">
        <v>8269.7900000000009</v>
      </c>
      <c r="D13" s="5" t="s">
        <v>81</v>
      </c>
      <c r="E13" s="6">
        <v>67199.039999999994</v>
      </c>
    </row>
    <row r="14" spans="1:13">
      <c r="A14" s="88" t="s">
        <v>294</v>
      </c>
      <c r="B14" s="87">
        <v>4829.8899999999994</v>
      </c>
      <c r="D14" s="5" t="s">
        <v>430</v>
      </c>
      <c r="E14" s="6">
        <v>229192.46999999997</v>
      </c>
      <c r="G14" s="89" t="s">
        <v>428</v>
      </c>
      <c r="H14" s="89" t="s">
        <v>429</v>
      </c>
    </row>
    <row r="15" spans="1:13">
      <c r="A15" s="88" t="s">
        <v>124</v>
      </c>
      <c r="B15" s="87">
        <v>11919.769999999999</v>
      </c>
      <c r="G15" s="24" t="s">
        <v>22</v>
      </c>
      <c r="H15" s="26">
        <v>62177.810000000019</v>
      </c>
    </row>
    <row r="16" spans="1:13" ht="15.6" customHeight="1">
      <c r="A16" s="88" t="s">
        <v>212</v>
      </c>
      <c r="B16" s="87">
        <v>3649.8599999999997</v>
      </c>
      <c r="G16" s="24" t="s">
        <v>27</v>
      </c>
      <c r="H16" s="26">
        <v>84657.12000000001</v>
      </c>
      <c r="K16" s="7"/>
      <c r="L16" s="7"/>
    </row>
    <row r="17" spans="1:8" ht="15.6">
      <c r="A17" s="88" t="s">
        <v>133</v>
      </c>
      <c r="B17" s="95">
        <v>1229.8800000000001</v>
      </c>
      <c r="C17" s="66"/>
      <c r="D17" s="105" t="s">
        <v>426</v>
      </c>
      <c r="E17" s="105"/>
      <c r="F17" s="105"/>
      <c r="G17" s="24" t="s">
        <v>36</v>
      </c>
      <c r="H17" s="26">
        <v>82357.540000000037</v>
      </c>
    </row>
    <row r="18" spans="1:8">
      <c r="A18" s="88" t="s">
        <v>193</v>
      </c>
      <c r="B18" s="95">
        <v>1479.91</v>
      </c>
      <c r="C18" s="66"/>
      <c r="D18" s="66"/>
      <c r="E18" s="91"/>
      <c r="F18" s="66"/>
      <c r="G18" s="94" t="s">
        <v>430</v>
      </c>
      <c r="H18" s="26">
        <v>229192.47000000009</v>
      </c>
    </row>
    <row r="19" spans="1:8">
      <c r="A19" s="88" t="s">
        <v>84</v>
      </c>
      <c r="B19" s="87">
        <v>3779.93</v>
      </c>
      <c r="D19" s="90" t="s">
        <v>428</v>
      </c>
      <c r="E19" s="92" t="s">
        <v>429</v>
      </c>
      <c r="F19" s="66"/>
    </row>
    <row r="20" spans="1:8">
      <c r="A20" s="88" t="s">
        <v>197</v>
      </c>
      <c r="B20" s="87">
        <v>6379.87</v>
      </c>
      <c r="D20" s="24">
        <v>45412</v>
      </c>
      <c r="E20" s="93">
        <v>20919.330000000002</v>
      </c>
      <c r="F20" s="66"/>
    </row>
    <row r="21" spans="1:8">
      <c r="A21" s="88" t="s">
        <v>145</v>
      </c>
      <c r="B21" s="87">
        <v>5519.8899999999994</v>
      </c>
      <c r="D21" s="24">
        <v>45443</v>
      </c>
      <c r="E21" s="93">
        <v>17039.349999999999</v>
      </c>
      <c r="F21" s="66"/>
    </row>
    <row r="22" spans="1:8">
      <c r="A22" s="88" t="s">
        <v>121</v>
      </c>
      <c r="B22" s="87">
        <v>6459.79</v>
      </c>
      <c r="D22" s="24">
        <v>45473</v>
      </c>
      <c r="E22" s="93">
        <v>19299.45</v>
      </c>
      <c r="F22" s="66"/>
    </row>
    <row r="23" spans="1:8">
      <c r="A23" s="88" t="s">
        <v>305</v>
      </c>
      <c r="B23" s="87">
        <v>179.97</v>
      </c>
      <c r="D23" s="24">
        <v>45504</v>
      </c>
      <c r="E23" s="26">
        <v>18479.399999999991</v>
      </c>
    </row>
    <row r="24" spans="1:8">
      <c r="A24" s="88" t="s">
        <v>142</v>
      </c>
      <c r="B24" s="87">
        <v>4739.8500000000004</v>
      </c>
      <c r="D24" s="24">
        <v>45535</v>
      </c>
      <c r="E24" s="26">
        <v>15759.43</v>
      </c>
    </row>
    <row r="25" spans="1:8">
      <c r="A25" s="88" t="s">
        <v>387</v>
      </c>
      <c r="B25" s="87">
        <v>599.96</v>
      </c>
      <c r="D25" s="24">
        <v>45565</v>
      </c>
      <c r="E25" s="26">
        <v>12989.51</v>
      </c>
    </row>
    <row r="26" spans="1:8">
      <c r="A26" s="88" t="s">
        <v>25</v>
      </c>
      <c r="B26" s="87">
        <v>6949.84</v>
      </c>
      <c r="D26" s="24">
        <v>45596</v>
      </c>
      <c r="E26" s="26">
        <v>20609.52</v>
      </c>
    </row>
    <row r="27" spans="1:8">
      <c r="A27" s="88" t="s">
        <v>163</v>
      </c>
      <c r="B27" s="87">
        <v>239.96</v>
      </c>
      <c r="D27" s="24">
        <v>45626</v>
      </c>
      <c r="E27" s="26">
        <v>12309.44</v>
      </c>
      <c r="F27" s="3"/>
    </row>
    <row r="28" spans="1:8">
      <c r="A28" s="88" t="s">
        <v>66</v>
      </c>
      <c r="B28" s="87">
        <v>8009.7699999999995</v>
      </c>
      <c r="D28" s="24">
        <v>45657</v>
      </c>
      <c r="E28" s="26">
        <v>23039.3</v>
      </c>
    </row>
    <row r="29" spans="1:8">
      <c r="A29" s="88" t="s">
        <v>39</v>
      </c>
      <c r="B29" s="87">
        <v>4309.8099999999995</v>
      </c>
      <c r="D29" s="24">
        <v>45688</v>
      </c>
      <c r="E29" s="26">
        <v>25799.15</v>
      </c>
    </row>
    <row r="30" spans="1:8">
      <c r="A30" s="88" t="s">
        <v>30</v>
      </c>
      <c r="B30" s="87">
        <v>3259.87</v>
      </c>
      <c r="D30" s="24">
        <v>45716</v>
      </c>
      <c r="E30" s="26">
        <v>16069.38</v>
      </c>
      <c r="F30" s="96"/>
    </row>
    <row r="31" spans="1:8">
      <c r="A31" s="88" t="s">
        <v>227</v>
      </c>
      <c r="B31" s="87">
        <v>6989.7699999999986</v>
      </c>
      <c r="D31" s="24">
        <v>45747</v>
      </c>
      <c r="E31" s="26">
        <v>19899.38</v>
      </c>
    </row>
    <row r="32" spans="1:8">
      <c r="A32" s="88" t="s">
        <v>113</v>
      </c>
      <c r="B32" s="87">
        <v>1289.9000000000001</v>
      </c>
      <c r="D32" s="24">
        <v>45777</v>
      </c>
      <c r="E32" s="26">
        <v>6979.829999999999</v>
      </c>
    </row>
    <row r="33" spans="1:5">
      <c r="A33" s="88" t="s">
        <v>130</v>
      </c>
      <c r="B33" s="87">
        <v>2039.8000000000002</v>
      </c>
      <c r="D33" s="24" t="s">
        <v>430</v>
      </c>
      <c r="E33" s="26">
        <v>229192.47</v>
      </c>
    </row>
    <row r="34" spans="1:5">
      <c r="A34" s="88" t="s">
        <v>186</v>
      </c>
      <c r="B34" s="87">
        <v>2099.88</v>
      </c>
    </row>
    <row r="35" spans="1:5">
      <c r="A35" s="88" t="s">
        <v>90</v>
      </c>
      <c r="B35" s="87">
        <v>1909.93</v>
      </c>
    </row>
    <row r="36" spans="1:5">
      <c r="A36" s="88" t="s">
        <v>87</v>
      </c>
      <c r="B36" s="87">
        <v>15659.65</v>
      </c>
    </row>
    <row r="37" spans="1:5">
      <c r="A37" s="88" t="s">
        <v>43</v>
      </c>
      <c r="B37" s="87">
        <v>6169.7400000000007</v>
      </c>
    </row>
    <row r="38" spans="1:5">
      <c r="A38" s="88" t="s">
        <v>79</v>
      </c>
      <c r="B38" s="87">
        <v>4199.9399999999996</v>
      </c>
    </row>
    <row r="39" spans="1:5">
      <c r="A39" s="88" t="s">
        <v>109</v>
      </c>
      <c r="B39" s="87">
        <v>4189.7700000000004</v>
      </c>
    </row>
    <row r="40" spans="1:5">
      <c r="A40" s="88" t="s">
        <v>100</v>
      </c>
      <c r="B40" s="87">
        <v>9799.73</v>
      </c>
    </row>
    <row r="41" spans="1:5">
      <c r="A41" s="88" t="s">
        <v>16</v>
      </c>
      <c r="B41" s="87">
        <v>8309.739999999998</v>
      </c>
    </row>
    <row r="42" spans="1:5">
      <c r="A42" s="88" t="s">
        <v>73</v>
      </c>
      <c r="B42" s="87">
        <v>5949.85</v>
      </c>
    </row>
    <row r="43" spans="1:5">
      <c r="A43" s="88" t="s">
        <v>172</v>
      </c>
      <c r="B43" s="87">
        <v>3669.8500000000004</v>
      </c>
    </row>
    <row r="44" spans="1:5">
      <c r="A44" s="88" t="s">
        <v>260</v>
      </c>
      <c r="B44" s="87">
        <v>739.93000000000006</v>
      </c>
    </row>
    <row r="45" spans="1:5">
      <c r="A45" s="88" t="s">
        <v>60</v>
      </c>
      <c r="B45" s="87">
        <v>3509.8999999999996</v>
      </c>
    </row>
    <row r="46" spans="1:5">
      <c r="A46" s="88" t="s">
        <v>247</v>
      </c>
      <c r="B46" s="87">
        <v>1749.92</v>
      </c>
    </row>
    <row r="47" spans="1:5">
      <c r="A47" s="88" t="s">
        <v>235</v>
      </c>
      <c r="B47" s="87">
        <v>6349.83</v>
      </c>
    </row>
    <row r="48" spans="1:5">
      <c r="A48" s="88" t="s">
        <v>155</v>
      </c>
      <c r="B48" s="87">
        <v>5499.8099999999995</v>
      </c>
    </row>
    <row r="49" spans="1:2">
      <c r="A49" s="88" t="s">
        <v>151</v>
      </c>
      <c r="B49" s="87">
        <v>5619.869999999999</v>
      </c>
    </row>
    <row r="50" spans="1:2">
      <c r="A50" s="88" t="s">
        <v>139</v>
      </c>
      <c r="B50" s="87">
        <v>2649.83</v>
      </c>
    </row>
    <row r="51" spans="1:2">
      <c r="A51" s="88" t="s">
        <v>69</v>
      </c>
      <c r="B51" s="87">
        <v>1979.89</v>
      </c>
    </row>
    <row r="52" spans="1:2">
      <c r="A52" s="88" t="s">
        <v>94</v>
      </c>
      <c r="B52" s="87">
        <v>4789.7900000000009</v>
      </c>
    </row>
    <row r="53" spans="1:2">
      <c r="A53" s="86" t="s">
        <v>253</v>
      </c>
      <c r="B53" s="85">
        <v>4749.91</v>
      </c>
    </row>
    <row r="54" spans="1:2">
      <c r="A54" s="86" t="s">
        <v>430</v>
      </c>
      <c r="B54" s="85">
        <v>229192.46999999997</v>
      </c>
    </row>
    <row r="55" spans="1:2">
      <c r="A55" s="66"/>
      <c r="B55" s="66"/>
    </row>
    <row r="56" spans="1:2">
      <c r="A56" s="66"/>
      <c r="B56" s="66"/>
    </row>
    <row r="57" spans="1:2">
      <c r="A57" s="66"/>
      <c r="B57" s="66"/>
    </row>
    <row r="58" spans="1:2">
      <c r="A58" s="66"/>
      <c r="B58" s="66"/>
    </row>
    <row r="59" spans="1:2">
      <c r="A59" s="66"/>
      <c r="B59" s="66"/>
    </row>
    <row r="60" spans="1:2">
      <c r="A60" s="66"/>
      <c r="B60" s="66"/>
    </row>
    <row r="61" spans="1:2">
      <c r="A61" s="66"/>
      <c r="B61" s="66"/>
    </row>
    <row r="62" spans="1:2">
      <c r="A62" s="66"/>
      <c r="B62" s="66"/>
    </row>
    <row r="63" spans="1:2">
      <c r="A63" s="66"/>
      <c r="B63" s="66"/>
    </row>
    <row r="64" spans="1:2">
      <c r="A64" s="66"/>
      <c r="B64" s="66"/>
    </row>
    <row r="65" spans="1:2">
      <c r="A65" s="66"/>
      <c r="B65" s="66"/>
    </row>
    <row r="66" spans="1:2">
      <c r="A66" s="66"/>
      <c r="B66" s="66"/>
    </row>
    <row r="67" spans="1:2">
      <c r="A67" s="66"/>
      <c r="B67" s="66"/>
    </row>
    <row r="68" spans="1:2">
      <c r="A68" s="66"/>
      <c r="B68" s="66"/>
    </row>
    <row r="69" spans="1:2">
      <c r="A69" s="66"/>
      <c r="B69" s="66"/>
    </row>
    <row r="70" spans="1:2">
      <c r="A70" s="66"/>
      <c r="B70" s="66"/>
    </row>
    <row r="71" spans="1:2">
      <c r="A71" s="66"/>
      <c r="B71" s="66"/>
    </row>
    <row r="72" spans="1:2">
      <c r="A72" s="66"/>
      <c r="B72" s="66"/>
    </row>
    <row r="73" spans="1:2">
      <c r="A73" s="66"/>
      <c r="B73" s="66"/>
    </row>
    <row r="74" spans="1:2">
      <c r="A74" s="66"/>
      <c r="B74" s="66"/>
    </row>
    <row r="75" spans="1:2">
      <c r="A75" s="66"/>
      <c r="B75" s="66"/>
    </row>
    <row r="76" spans="1:2">
      <c r="A76" s="66"/>
      <c r="B76" s="66"/>
    </row>
    <row r="77" spans="1:2">
      <c r="A77" s="66"/>
      <c r="B77" s="66"/>
    </row>
    <row r="78" spans="1:2">
      <c r="A78" s="66"/>
      <c r="B78" s="66"/>
    </row>
    <row r="79" spans="1:2">
      <c r="A79" s="66"/>
      <c r="B79" s="66"/>
    </row>
    <row r="80" spans="1:2">
      <c r="A80" s="66"/>
      <c r="B80" s="66"/>
    </row>
    <row r="81" spans="1:2">
      <c r="A81" s="66"/>
      <c r="B81" s="66"/>
    </row>
    <row r="82" spans="1:2">
      <c r="A82" s="66"/>
      <c r="B82" s="66"/>
    </row>
    <row r="83" spans="1:2">
      <c r="A83" s="66"/>
      <c r="B83" s="66"/>
    </row>
    <row r="84" spans="1:2">
      <c r="A84" s="66"/>
      <c r="B84" s="66"/>
    </row>
    <row r="85" spans="1:2">
      <c r="A85" s="66"/>
      <c r="B85" s="66"/>
    </row>
    <row r="86" spans="1:2">
      <c r="A86" s="66"/>
      <c r="B86" s="66"/>
    </row>
    <row r="87" spans="1:2">
      <c r="A87" s="66"/>
      <c r="B87" s="66"/>
    </row>
    <row r="88" spans="1:2">
      <c r="A88" s="66"/>
      <c r="B88" s="66"/>
    </row>
    <row r="89" spans="1:2">
      <c r="A89" s="66"/>
      <c r="B89" s="66"/>
    </row>
    <row r="90" spans="1:2">
      <c r="A90" s="66"/>
      <c r="B90" s="66"/>
    </row>
    <row r="91" spans="1:2">
      <c r="A91" s="66"/>
      <c r="B91" s="66"/>
    </row>
    <row r="92" spans="1:2">
      <c r="A92" s="66"/>
      <c r="B92" s="66"/>
    </row>
    <row r="93" spans="1:2">
      <c r="A93" s="66"/>
      <c r="B93" s="66"/>
    </row>
    <row r="94" spans="1:2">
      <c r="A94" s="66"/>
      <c r="B94" s="66"/>
    </row>
    <row r="95" spans="1:2">
      <c r="A95" s="66"/>
      <c r="B95" s="66"/>
    </row>
    <row r="96" spans="1:2">
      <c r="A96" s="66"/>
      <c r="B96" s="66"/>
    </row>
    <row r="97" spans="1:2">
      <c r="A97" s="66"/>
      <c r="B97" s="66"/>
    </row>
    <row r="98" spans="1:2">
      <c r="A98" s="66"/>
      <c r="B98" s="66"/>
    </row>
    <row r="99" spans="1:2">
      <c r="A99" s="66"/>
      <c r="B99" s="66"/>
    </row>
    <row r="100" spans="1:2">
      <c r="A100" s="66"/>
      <c r="B100" s="66"/>
    </row>
    <row r="101" spans="1:2">
      <c r="A101" s="66"/>
      <c r="B101" s="66"/>
    </row>
    <row r="102" spans="1:2">
      <c r="A102" s="66"/>
      <c r="B102" s="66"/>
    </row>
    <row r="103" spans="1:2">
      <c r="A103" s="66"/>
      <c r="B103" s="66"/>
    </row>
    <row r="104" spans="1:2">
      <c r="A104" s="66"/>
      <c r="B104" s="66"/>
    </row>
    <row r="105" spans="1:2">
      <c r="A105" s="66"/>
      <c r="B105" s="66"/>
    </row>
    <row r="106" spans="1:2">
      <c r="A106" s="66"/>
      <c r="B106" s="66"/>
    </row>
    <row r="107" spans="1:2">
      <c r="A107" s="66"/>
      <c r="B107" s="66"/>
    </row>
    <row r="108" spans="1:2">
      <c r="A108" s="66"/>
      <c r="B108" s="66"/>
    </row>
    <row r="109" spans="1:2">
      <c r="A109" s="66"/>
      <c r="B109" s="66"/>
    </row>
    <row r="110" spans="1:2">
      <c r="A110" s="66"/>
      <c r="B110" s="66"/>
    </row>
    <row r="111" spans="1:2">
      <c r="A111" s="66"/>
      <c r="B111" s="66"/>
    </row>
    <row r="112" spans="1:2">
      <c r="A112" s="66"/>
      <c r="B112" s="66"/>
    </row>
    <row r="113" spans="1:2">
      <c r="A113" s="66"/>
      <c r="B113" s="66"/>
    </row>
    <row r="114" spans="1:2">
      <c r="A114" s="66"/>
      <c r="B114" s="66"/>
    </row>
    <row r="115" spans="1:2">
      <c r="A115" s="66"/>
      <c r="B115" s="66"/>
    </row>
    <row r="116" spans="1:2">
      <c r="A116" s="66"/>
      <c r="B116" s="66"/>
    </row>
    <row r="117" spans="1:2">
      <c r="A117" s="66"/>
      <c r="B117" s="66"/>
    </row>
    <row r="118" spans="1:2">
      <c r="A118" s="66"/>
      <c r="B118" s="66"/>
    </row>
    <row r="119" spans="1:2">
      <c r="A119" s="66"/>
      <c r="B119" s="66"/>
    </row>
    <row r="120" spans="1:2">
      <c r="A120" s="66"/>
      <c r="B120" s="66"/>
    </row>
    <row r="121" spans="1:2">
      <c r="A121" s="66"/>
      <c r="B121" s="66"/>
    </row>
    <row r="122" spans="1:2">
      <c r="A122" s="66"/>
      <c r="B122" s="66"/>
    </row>
    <row r="123" spans="1:2">
      <c r="A123" s="66"/>
      <c r="B123" s="66"/>
    </row>
    <row r="124" spans="1:2">
      <c r="A124" s="66"/>
      <c r="B124" s="66"/>
    </row>
    <row r="125" spans="1:2">
      <c r="A125" s="66"/>
      <c r="B125" s="66"/>
    </row>
    <row r="126" spans="1:2">
      <c r="A126" s="66"/>
      <c r="B126" s="66"/>
    </row>
    <row r="127" spans="1:2">
      <c r="A127" s="66"/>
      <c r="B127" s="66"/>
    </row>
    <row r="128" spans="1:2">
      <c r="A128" s="66"/>
      <c r="B128" s="66"/>
    </row>
    <row r="129" spans="1:2">
      <c r="A129" s="66"/>
      <c r="B129" s="66"/>
    </row>
    <row r="130" spans="1:2">
      <c r="A130" s="66"/>
      <c r="B130" s="66"/>
    </row>
    <row r="131" spans="1:2">
      <c r="A131" s="66"/>
      <c r="B131" s="66"/>
    </row>
    <row r="132" spans="1:2">
      <c r="A132" s="66"/>
      <c r="B132" s="66"/>
    </row>
    <row r="133" spans="1:2">
      <c r="A133" s="66"/>
      <c r="B133" s="66"/>
    </row>
    <row r="134" spans="1:2">
      <c r="A134" s="66"/>
      <c r="B134" s="66"/>
    </row>
    <row r="135" spans="1:2">
      <c r="A135" s="66"/>
      <c r="B135" s="66"/>
    </row>
    <row r="136" spans="1:2">
      <c r="A136" s="66"/>
      <c r="B136" s="66"/>
    </row>
    <row r="137" spans="1:2">
      <c r="A137" s="66"/>
      <c r="B137" s="66"/>
    </row>
    <row r="138" spans="1:2">
      <c r="A138" s="66"/>
      <c r="B138" s="66"/>
    </row>
    <row r="139" spans="1:2">
      <c r="A139" s="66"/>
      <c r="B139" s="66"/>
    </row>
    <row r="140" spans="1:2">
      <c r="A140" s="66"/>
      <c r="B140" s="66"/>
    </row>
    <row r="141" spans="1:2">
      <c r="A141" s="66"/>
      <c r="B141" s="66"/>
    </row>
    <row r="142" spans="1:2">
      <c r="A142" s="66"/>
      <c r="B142" s="66"/>
    </row>
    <row r="143" spans="1:2">
      <c r="A143" s="66"/>
      <c r="B143" s="66"/>
    </row>
    <row r="144" spans="1:2">
      <c r="A144" s="66"/>
      <c r="B144" s="66"/>
    </row>
    <row r="145" spans="1:2">
      <c r="A145" s="66"/>
      <c r="B145" s="66"/>
    </row>
    <row r="146" spans="1:2">
      <c r="A146" s="66"/>
      <c r="B146" s="66"/>
    </row>
    <row r="147" spans="1:2">
      <c r="A147" s="66"/>
      <c r="B147" s="66"/>
    </row>
    <row r="148" spans="1:2">
      <c r="A148" s="66"/>
      <c r="B148" s="66"/>
    </row>
    <row r="149" spans="1:2">
      <c r="A149" s="66"/>
      <c r="B149" s="66"/>
    </row>
    <row r="150" spans="1:2">
      <c r="A150" s="66"/>
      <c r="B150" s="66"/>
    </row>
    <row r="151" spans="1:2">
      <c r="A151" s="66"/>
      <c r="B151" s="66"/>
    </row>
    <row r="152" spans="1:2">
      <c r="A152" s="66"/>
      <c r="B152" s="66"/>
    </row>
    <row r="153" spans="1:2">
      <c r="A153" s="66"/>
      <c r="B153" s="66"/>
    </row>
    <row r="154" spans="1:2">
      <c r="A154" s="66"/>
      <c r="B154" s="66"/>
    </row>
    <row r="155" spans="1:2">
      <c r="A155" s="66"/>
      <c r="B155" s="66"/>
    </row>
    <row r="156" spans="1:2">
      <c r="A156" s="66"/>
      <c r="B156" s="66"/>
    </row>
    <row r="157" spans="1:2">
      <c r="A157" s="66"/>
      <c r="B157" s="66"/>
    </row>
    <row r="158" spans="1:2">
      <c r="A158" s="66"/>
      <c r="B158" s="66"/>
    </row>
    <row r="159" spans="1:2">
      <c r="A159" s="66"/>
      <c r="B159" s="66"/>
    </row>
    <row r="160" spans="1:2">
      <c r="A160" s="66"/>
      <c r="B160" s="66"/>
    </row>
    <row r="161" spans="1:2">
      <c r="A161" s="66"/>
      <c r="B161" s="66"/>
    </row>
    <row r="162" spans="1:2">
      <c r="A162" s="66"/>
      <c r="B162" s="66"/>
    </row>
    <row r="163" spans="1:2">
      <c r="A163" s="66"/>
      <c r="B163" s="66"/>
    </row>
    <row r="164" spans="1:2">
      <c r="A164" s="66"/>
      <c r="B164" s="66"/>
    </row>
    <row r="165" spans="1:2">
      <c r="A165" s="66"/>
      <c r="B165" s="66"/>
    </row>
    <row r="166" spans="1:2">
      <c r="A166" s="66"/>
      <c r="B166" s="66"/>
    </row>
    <row r="167" spans="1:2">
      <c r="A167" s="66"/>
      <c r="B167" s="66"/>
    </row>
    <row r="168" spans="1:2">
      <c r="A168" s="66"/>
      <c r="B168" s="66"/>
    </row>
    <row r="169" spans="1:2">
      <c r="A169" s="66"/>
      <c r="B169" s="66"/>
    </row>
    <row r="170" spans="1:2">
      <c r="A170" s="66"/>
      <c r="B170" s="66"/>
    </row>
    <row r="171" spans="1:2">
      <c r="A171" s="66"/>
      <c r="B171" s="66"/>
    </row>
    <row r="172" spans="1:2">
      <c r="A172" s="66"/>
      <c r="B172" s="66"/>
    </row>
    <row r="173" spans="1:2">
      <c r="A173" s="66"/>
      <c r="B173" s="66"/>
    </row>
    <row r="174" spans="1:2">
      <c r="A174" s="66"/>
      <c r="B174" s="66"/>
    </row>
    <row r="175" spans="1:2">
      <c r="A175" s="66"/>
      <c r="B175" s="66"/>
    </row>
    <row r="176" spans="1:2">
      <c r="A176" s="66"/>
      <c r="B176" s="66"/>
    </row>
    <row r="177" spans="1:2">
      <c r="A177" s="66"/>
      <c r="B177" s="66"/>
    </row>
    <row r="178" spans="1:2">
      <c r="A178" s="66"/>
      <c r="B178" s="66"/>
    </row>
    <row r="179" spans="1:2">
      <c r="A179" s="66"/>
      <c r="B179" s="66"/>
    </row>
    <row r="180" spans="1:2">
      <c r="A180" s="66"/>
      <c r="B180" s="66"/>
    </row>
    <row r="181" spans="1:2">
      <c r="A181" s="66"/>
      <c r="B181" s="66"/>
    </row>
    <row r="182" spans="1:2">
      <c r="A182" s="66"/>
      <c r="B182" s="66"/>
    </row>
    <row r="183" spans="1:2">
      <c r="A183" s="66"/>
      <c r="B183" s="66"/>
    </row>
    <row r="184" spans="1:2">
      <c r="A184" s="66"/>
      <c r="B184" s="66"/>
    </row>
    <row r="185" spans="1:2">
      <c r="A185" s="66"/>
      <c r="B185" s="66"/>
    </row>
    <row r="186" spans="1:2">
      <c r="A186" s="66"/>
      <c r="B186" s="66"/>
    </row>
    <row r="187" spans="1:2">
      <c r="A187" s="66"/>
      <c r="B187" s="66"/>
    </row>
    <row r="188" spans="1:2">
      <c r="A188" s="66"/>
      <c r="B188" s="66"/>
    </row>
    <row r="189" spans="1:2">
      <c r="A189" s="66"/>
      <c r="B189" s="66"/>
    </row>
    <row r="190" spans="1:2">
      <c r="A190" s="66"/>
      <c r="B190" s="66"/>
    </row>
    <row r="191" spans="1:2">
      <c r="A191" s="66"/>
      <c r="B191" s="66"/>
    </row>
    <row r="192" spans="1:2">
      <c r="A192" s="66"/>
      <c r="B192" s="66"/>
    </row>
    <row r="193" spans="1:2">
      <c r="A193" s="66"/>
      <c r="B193" s="66"/>
    </row>
    <row r="194" spans="1:2">
      <c r="A194" s="66"/>
      <c r="B194" s="66"/>
    </row>
    <row r="195" spans="1:2">
      <c r="A195" s="66"/>
      <c r="B195" s="66"/>
    </row>
    <row r="196" spans="1:2">
      <c r="A196" s="66"/>
      <c r="B196" s="66"/>
    </row>
    <row r="197" spans="1:2">
      <c r="A197" s="66"/>
      <c r="B197" s="66"/>
    </row>
    <row r="198" spans="1:2">
      <c r="A198" s="66"/>
      <c r="B198" s="66"/>
    </row>
    <row r="199" spans="1:2">
      <c r="A199" s="66"/>
      <c r="B199" s="66"/>
    </row>
    <row r="200" spans="1:2">
      <c r="A200" s="66"/>
      <c r="B200" s="66"/>
    </row>
    <row r="201" spans="1:2">
      <c r="A201" s="66"/>
      <c r="B201" s="66"/>
    </row>
    <row r="202" spans="1:2">
      <c r="A202" s="66"/>
      <c r="B202" s="66"/>
    </row>
    <row r="203" spans="1:2">
      <c r="A203" s="66"/>
      <c r="B203" s="66"/>
    </row>
    <row r="204" spans="1:2">
      <c r="A204" s="66"/>
      <c r="B204" s="66"/>
    </row>
    <row r="205" spans="1:2">
      <c r="A205" s="66"/>
      <c r="B205" s="66"/>
    </row>
    <row r="206" spans="1:2">
      <c r="A206" s="66"/>
      <c r="B206" s="66"/>
    </row>
    <row r="207" spans="1:2">
      <c r="A207" s="66"/>
      <c r="B207" s="66"/>
    </row>
    <row r="208" spans="1:2">
      <c r="A208" s="66"/>
      <c r="B208" s="66"/>
    </row>
    <row r="209" spans="1:2">
      <c r="A209" s="66"/>
      <c r="B209" s="66"/>
    </row>
    <row r="210" spans="1:2">
      <c r="A210" s="66"/>
      <c r="B210" s="66"/>
    </row>
    <row r="211" spans="1:2">
      <c r="A211" s="66"/>
      <c r="B211" s="66"/>
    </row>
    <row r="212" spans="1:2">
      <c r="A212" s="66"/>
      <c r="B212" s="66"/>
    </row>
    <row r="213" spans="1:2">
      <c r="A213" s="66"/>
      <c r="B213" s="66"/>
    </row>
    <row r="214" spans="1:2">
      <c r="A214" s="66"/>
      <c r="B214" s="66"/>
    </row>
    <row r="215" spans="1:2">
      <c r="A215" s="66"/>
      <c r="B215" s="66"/>
    </row>
    <row r="216" spans="1:2">
      <c r="A216" s="66"/>
      <c r="B216" s="66"/>
    </row>
    <row r="217" spans="1:2">
      <c r="A217" s="66"/>
      <c r="B217" s="66"/>
    </row>
    <row r="218" spans="1:2">
      <c r="A218" s="66"/>
      <c r="B218" s="66"/>
    </row>
    <row r="219" spans="1:2">
      <c r="A219" s="66"/>
      <c r="B219" s="66"/>
    </row>
    <row r="220" spans="1:2">
      <c r="A220" s="66"/>
      <c r="B220" s="66"/>
    </row>
    <row r="221" spans="1:2">
      <c r="A221" s="66"/>
      <c r="B221" s="66"/>
    </row>
    <row r="222" spans="1:2">
      <c r="A222" s="66"/>
      <c r="B222" s="66"/>
    </row>
    <row r="223" spans="1:2">
      <c r="A223" s="66"/>
      <c r="B223" s="66"/>
    </row>
    <row r="224" spans="1:2">
      <c r="A224" s="66"/>
      <c r="B224" s="66"/>
    </row>
    <row r="225" spans="1:2">
      <c r="A225" s="66"/>
      <c r="B225" s="66"/>
    </row>
  </sheetData>
  <mergeCells count="6">
    <mergeCell ref="D17:F17"/>
    <mergeCell ref="A1:B1"/>
    <mergeCell ref="K1:M1"/>
    <mergeCell ref="G1:I1"/>
    <mergeCell ref="G12:I12"/>
    <mergeCell ref="D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zoomScale="71" zoomScaleNormal="100" workbookViewId="0">
      <selection activeCell="AE37" sqref="AE37"/>
    </sheetView>
  </sheetViews>
  <sheetFormatPr defaultRowHeight="13.8"/>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P9"/>
  <sheetViews>
    <sheetView showGridLines="0" zoomScale="67" zoomScaleNormal="85" workbookViewId="0">
      <selection activeCell="T10" sqref="T10"/>
    </sheetView>
  </sheetViews>
  <sheetFormatPr defaultRowHeight="13.8"/>
  <cols>
    <col min="1" max="1" width="9.59765625" customWidth="1"/>
    <col min="2" max="2" width="27" customWidth="1"/>
    <col min="3" max="3" width="5.3984375" customWidth="1"/>
    <col min="4" max="4" width="22.19921875" customWidth="1"/>
    <col min="5" max="5" width="5.296875" customWidth="1"/>
    <col min="6" max="6" width="22.09765625" customWidth="1"/>
    <col min="7" max="7" width="14.3984375" customWidth="1"/>
  </cols>
  <sheetData>
    <row r="3" spans="2:16">
      <c r="D3" s="65"/>
      <c r="E3" s="66"/>
    </row>
    <row r="4" spans="2:16">
      <c r="E4" s="66"/>
    </row>
    <row r="6" spans="2:16" ht="20.399999999999999">
      <c r="B6" s="115" t="s">
        <v>432</v>
      </c>
      <c r="D6" s="115" t="s">
        <v>433</v>
      </c>
      <c r="F6" s="115" t="s">
        <v>434</v>
      </c>
      <c r="L6" s="66"/>
    </row>
    <row r="7" spans="2:16" ht="20.399999999999999">
      <c r="B7" s="117">
        <f>SUM(Table2[Total_Amount])</f>
        <v>155764.67000000013</v>
      </c>
      <c r="D7" s="116">
        <v>50</v>
      </c>
      <c r="F7" s="116">
        <f>AVERAGE(Analysis!H:H)</f>
        <v>3.1352941176470588</v>
      </c>
    </row>
    <row r="9" spans="2:16">
      <c r="P9" s="6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EFD1-D9FA-41D6-95F7-9807449D952A}">
  <dimension ref="A1:M31"/>
  <sheetViews>
    <sheetView tabSelected="1" workbookViewId="0">
      <selection activeCell="H26" sqref="H26"/>
    </sheetView>
  </sheetViews>
  <sheetFormatPr defaultRowHeight="13.8"/>
  <cols>
    <col min="1" max="1" width="8.796875" customWidth="1"/>
  </cols>
  <sheetData>
    <row r="1" spans="1:9">
      <c r="A1" s="112" t="s">
        <v>465</v>
      </c>
      <c r="B1" s="112"/>
      <c r="C1" s="112"/>
      <c r="D1" s="112"/>
    </row>
    <row r="2" spans="1:9">
      <c r="A2" s="112"/>
      <c r="B2" s="112"/>
      <c r="C2" s="112"/>
      <c r="D2" s="112"/>
    </row>
    <row r="4" spans="1:9" ht="20.399999999999999">
      <c r="A4" s="68" t="s">
        <v>466</v>
      </c>
    </row>
    <row r="5" spans="1:9">
      <c r="A5" s="69" t="s">
        <v>467</v>
      </c>
      <c r="B5" s="69"/>
      <c r="C5" s="69"/>
      <c r="D5" s="69"/>
      <c r="E5" s="69"/>
      <c r="F5" s="69"/>
      <c r="G5" s="69"/>
      <c r="H5" s="69"/>
    </row>
    <row r="7" spans="1:9" ht="20.399999999999999">
      <c r="A7" s="68" t="s">
        <v>468</v>
      </c>
      <c r="B7" s="68"/>
      <c r="C7" s="68"/>
    </row>
    <row r="8" spans="1:9">
      <c r="A8" s="69" t="s">
        <v>469</v>
      </c>
      <c r="B8" s="69"/>
      <c r="C8" s="69"/>
      <c r="D8" s="69"/>
      <c r="E8" s="69"/>
      <c r="F8" s="69"/>
      <c r="G8" s="69"/>
      <c r="H8" s="69"/>
      <c r="I8" s="69"/>
    </row>
    <row r="10" spans="1:9" ht="20.399999999999999">
      <c r="A10" s="68" t="s">
        <v>470</v>
      </c>
      <c r="B10" s="68"/>
      <c r="C10" s="68"/>
    </row>
    <row r="11" spans="1:9">
      <c r="A11" s="69" t="s">
        <v>471</v>
      </c>
      <c r="B11" s="69"/>
      <c r="C11" s="69"/>
      <c r="D11" s="69"/>
      <c r="E11" s="69"/>
      <c r="F11" s="69"/>
      <c r="G11" s="69"/>
      <c r="H11" s="69"/>
      <c r="I11" s="69"/>
    </row>
    <row r="13" spans="1:9" ht="20.399999999999999">
      <c r="A13" s="68" t="s">
        <v>472</v>
      </c>
      <c r="B13" s="68"/>
    </row>
    <row r="14" spans="1:9">
      <c r="A14" s="69" t="s">
        <v>473</v>
      </c>
      <c r="B14" s="69"/>
      <c r="C14" s="69"/>
      <c r="D14" s="69"/>
      <c r="E14" s="69"/>
      <c r="F14" s="69"/>
      <c r="G14" s="69"/>
      <c r="H14" s="69"/>
    </row>
    <row r="15" spans="1:9">
      <c r="A15" s="69"/>
      <c r="B15" s="69"/>
      <c r="C15" s="69"/>
      <c r="D15" s="69"/>
      <c r="E15" s="69"/>
      <c r="F15" s="69"/>
      <c r="G15" s="69"/>
      <c r="H15" s="69"/>
    </row>
    <row r="16" spans="1:9" ht="20.399999999999999">
      <c r="A16" s="68" t="s">
        <v>474</v>
      </c>
      <c r="B16" s="68"/>
      <c r="C16" s="68"/>
    </row>
    <row r="17" spans="1:13">
      <c r="A17" s="69" t="s">
        <v>475</v>
      </c>
      <c r="B17" s="69"/>
      <c r="C17" s="69"/>
      <c r="D17" s="69"/>
      <c r="E17" s="69"/>
      <c r="F17" s="69"/>
      <c r="G17" s="69"/>
      <c r="H17" s="69"/>
      <c r="I17" s="69"/>
      <c r="J17" s="69"/>
      <c r="K17" s="69"/>
      <c r="L17" s="69"/>
      <c r="M17" s="69"/>
    </row>
    <row r="19" spans="1:13" ht="18">
      <c r="A19" s="113" t="s">
        <v>476</v>
      </c>
      <c r="B19" s="114"/>
    </row>
    <row r="20" spans="1:13" ht="14.4">
      <c r="A20" s="71" t="s">
        <v>477</v>
      </c>
      <c r="B20" s="76" t="s">
        <v>478</v>
      </c>
    </row>
    <row r="21" spans="1:13" ht="14.4">
      <c r="A21" s="71" t="s">
        <v>479</v>
      </c>
      <c r="B21" s="70" t="s">
        <v>494</v>
      </c>
    </row>
    <row r="22" spans="1:13" ht="14.4">
      <c r="A22" s="71" t="s">
        <v>480</v>
      </c>
      <c r="B22" s="70" t="s">
        <v>481</v>
      </c>
    </row>
    <row r="23" spans="1:13" ht="14.4">
      <c r="A23" s="71" t="s">
        <v>482</v>
      </c>
      <c r="B23" s="70" t="s">
        <v>483</v>
      </c>
    </row>
    <row r="24" spans="1:13" ht="14.4">
      <c r="A24" s="71" t="s">
        <v>484</v>
      </c>
      <c r="B24" s="70" t="s">
        <v>485</v>
      </c>
    </row>
    <row r="25" spans="1:13" ht="14.4">
      <c r="A25" s="71" t="s">
        <v>486</v>
      </c>
      <c r="B25" s="70" t="s">
        <v>487</v>
      </c>
    </row>
    <row r="26" spans="1:13" ht="14.4">
      <c r="A26" s="71" t="s">
        <v>488</v>
      </c>
      <c r="B26" s="70" t="s">
        <v>489</v>
      </c>
    </row>
    <row r="27" spans="1:13" ht="14.4">
      <c r="A27" s="71"/>
      <c r="B27" s="70"/>
    </row>
    <row r="28" spans="1:13" ht="18">
      <c r="A28" s="71" t="s">
        <v>490</v>
      </c>
      <c r="B28" s="72" t="s">
        <v>491</v>
      </c>
    </row>
    <row r="29" spans="1:13" ht="14.4">
      <c r="A29" s="71" t="s">
        <v>432</v>
      </c>
      <c r="B29">
        <f>SUM('Raw data '!H2:H251)</f>
        <v>753</v>
      </c>
    </row>
    <row r="30" spans="1:13" ht="14.4">
      <c r="A30" s="71" t="s">
        <v>492</v>
      </c>
      <c r="B30">
        <f>COUNTA('Raw data '!A2:A251)</f>
        <v>250</v>
      </c>
    </row>
    <row r="31" spans="1:13" ht="14.4">
      <c r="A31" s="71" t="s">
        <v>493</v>
      </c>
      <c r="B31">
        <f>AVERAGE('Raw data '!H2:H251)</f>
        <v>3.012</v>
      </c>
    </row>
  </sheetData>
  <mergeCells count="2">
    <mergeCell ref="A1:D2"/>
    <mergeCell ref="A19:B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 </vt:lpstr>
      <vt:lpstr>Analysis</vt:lpstr>
      <vt:lpstr>WHAT-IF Analysis</vt:lpstr>
      <vt:lpstr>Analysis Toolpak</vt:lpstr>
      <vt:lpstr>Pivot table</vt:lpstr>
      <vt:lpstr>Charts </vt:lpstr>
      <vt:lpstr>Dashboards</vt:lpstr>
      <vt:lpstr>Data storytelling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DELL</cp:lastModifiedBy>
  <dcterms:created xsi:type="dcterms:W3CDTF">2026-03-20T12:41:50Z</dcterms:created>
  <dcterms:modified xsi:type="dcterms:W3CDTF">2026-09-16T10:35:09Z</dcterms:modified>
</cp:coreProperties>
</file>